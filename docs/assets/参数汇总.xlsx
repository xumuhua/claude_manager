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10" windowWidth="14810" windowHeight="8010" tabRatio="600" firstSheet="0" activeTab="0" autoFilterDateGrouping="1"/>
  </bookViews>
  <sheets>
    <sheet name="云端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10">
    <font>
      <name val="宋体"/>
      <family val="2"/>
      <color theme="1"/>
      <sz val="11"/>
      <scheme val="minor"/>
    </font>
    <font>
      <name val="微软雅黑"/>
      <charset val="134"/>
      <family val="2"/>
      <color theme="1"/>
      <sz val="11"/>
    </font>
    <font>
      <name val="宋体"/>
      <charset val="134"/>
      <family val="3"/>
      <sz val="9"/>
      <scheme val="minor"/>
    </font>
    <font>
      <name val="微软雅黑"/>
      <charset val="134"/>
      <family val="2"/>
      <b val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sz val="11"/>
    </font>
    <font>
      <name val="微软雅黑"/>
      <charset val="134"/>
      <family val="2"/>
      <color theme="1"/>
      <sz val="8"/>
    </font>
    <font>
      <name val="微软雅黑"/>
      <charset val="134"/>
      <family val="2"/>
      <color rgb="FFFF0000"/>
      <sz val="11"/>
    </font>
    <font>
      <b val="1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164" fontId="1" fillId="0" borderId="1" applyAlignment="1" pivotButton="0" quotePrefix="0" xfId="0">
      <alignment horizontal="right"/>
    </xf>
    <xf numFmtId="164" fontId="4" fillId="2" borderId="1" applyAlignment="1" pivotButton="0" quotePrefix="0" xfId="0">
      <alignment horizontal="right"/>
    </xf>
    <xf numFmtId="164" fontId="4" fillId="2" borderId="2" applyAlignment="1" pivotButton="0" quotePrefix="0" xfId="0">
      <alignment horizontal="right"/>
    </xf>
    <xf numFmtId="164" fontId="0" fillId="0" borderId="0" pivotButton="0" quotePrefix="0" xfId="0"/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1" fillId="3" borderId="1" applyAlignment="1" pivotButton="0" quotePrefix="0" xfId="0">
      <alignment horizontal="right"/>
    </xf>
    <xf numFmtId="164" fontId="6" fillId="0" borderId="0" pivotButton="0" quotePrefix="0" xfId="0"/>
    <xf numFmtId="164" fontId="6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1" fillId="0" borderId="0" pivotButton="0" quotePrefix="0" xfId="0"/>
    <xf numFmtId="164" fontId="7" fillId="0" borderId="1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1" fillId="0" borderId="0" pivotButton="0" quotePrefix="0" xfId="0"/>
    <xf numFmtId="164" fontId="1" fillId="0" borderId="0" applyAlignment="1" pivotButton="0" quotePrefix="0" xfId="0">
      <alignment horizontal="left"/>
    </xf>
    <xf numFmtId="164" fontId="0" fillId="0" borderId="0" pivotButton="0" quotePrefix="0" xfId="0"/>
    <xf numFmtId="164" fontId="1" fillId="0" borderId="1" applyAlignment="1" pivotButton="0" quotePrefix="0" xfId="0">
      <alignment horizontal="right"/>
    </xf>
    <xf numFmtId="164" fontId="4" fillId="2" borderId="1" applyAlignment="1" pivotButton="0" quotePrefix="0" xfId="0">
      <alignment horizontal="right"/>
    </xf>
    <xf numFmtId="164" fontId="4" fillId="2" borderId="2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0" fontId="8" fillId="0" borderId="0" pivotButton="0" quotePrefix="0" xfId="0"/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1" fillId="3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6" fillId="0" borderId="0" pivotButton="0" quotePrefix="0" xfId="0"/>
    <xf numFmtId="164" fontId="6" fillId="0" borderId="0" applyAlignment="1" pivotButton="0" quotePrefix="0" xfId="0">
      <alignment horizontal="left"/>
    </xf>
    <xf numFmtId="0" fontId="9" fillId="0" borderId="0" pivotButton="0" quotePrefix="0" xfId="0"/>
    <xf numFmtId="164" fontId="9" fillId="0" borderId="0" pivotButton="0" quotePrefix="0" xfId="0"/>
  </cellXfs>
  <cellStyles count="1">
    <cellStyle name="常规" xfId="0" builtinId="0"/>
  </cellStyles>
  <dxfs count="466"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  <dxf>
      <font>
        <color theme="0" tint="-0.249946592608417"/>
      </font>
    </dxf>
    <dxf>
      <fill>
        <patternFill>
          <bgColor theme="0" tint="-0.249946592608417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云端!$A$7</f>
              <strCache>
                <ptCount val="1"/>
                <pt idx="0">
                  <v>DDR/HBM带宽(GB/s)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(云端!$B$1:$Q$1,云端!$V$1:$W$1)</f>
              <strCache>
                <ptCount val="16"/>
                <pt idx="0">
                  <v>云燧T21</v>
                </pt>
                <pt idx="1">
                  <v>Swift A3</v>
                </pt>
                <pt idx="2">
                  <v>A30</v>
                </pt>
                <pt idx="3">
                  <v>V100 SXM</v>
                </pt>
                <pt idx="4">
                  <v>ANT</v>
                </pt>
                <pt idx="5">
                  <v>A10</v>
                </pt>
                <pt idx="6">
                  <v>A100 SXM</v>
                </pt>
                <pt idx="7">
                  <v>H100 PCIe</v>
                </pt>
                <pt idx="8">
                  <v>H100</v>
                </pt>
                <pt idx="9">
                  <v>B100</v>
                </pt>
                <pt idx="10">
                  <v>GB200</v>
                </pt>
                <pt idx="11">
                  <v>Robin</v>
                </pt>
                <pt idx="12">
                  <v>H800</v>
                </pt>
                <pt idx="13">
                  <v>H20</v>
                </pt>
                <pt idx="14">
                  <v>L20</v>
                </pt>
                <pt idx="15">
                  <v>GB300</v>
                </pt>
              </strCache>
            </strRef>
          </cat>
          <val>
            <numRef>
              <f>(云端!$B$7:$Q$7,云端!$V$7:$W$7)</f>
              <numCache>
                <formatCode>0.00_);[Red]\(0.00\)</formatCode>
                <ptCount val="18"/>
                <pt idx="0">
                  <v>1843</v>
                </pt>
                <pt idx="1">
                  <v>1228.8</v>
                </pt>
                <pt idx="2">
                  <v>933</v>
                </pt>
                <pt idx="3">
                  <v>900</v>
                </pt>
                <pt idx="4">
                  <v>300</v>
                </pt>
                <pt idx="5">
                  <v>600</v>
                </pt>
                <pt idx="6">
                  <v>2048</v>
                </pt>
                <pt idx="7">
                  <v>4096</v>
                </pt>
                <pt idx="8">
                  <v>4096</v>
                </pt>
                <pt idx="9">
                  <v>8000</v>
                </pt>
                <pt idx="10">
                  <v>8000</v>
                </pt>
                <pt idx="11">
                  <v>8192</v>
                </pt>
                <pt idx="12">
                  <v>3350</v>
                </pt>
                <pt idx="13">
                  <v>4096</v>
                </pt>
                <pt idx="14">
                  <v>864</v>
                </pt>
                <pt idx="15">
                  <v>8000</v>
                </pt>
                <pt idx="16">
                  <v>0</v>
                </pt>
                <pt idx="17">
                  <v>0</v>
                </pt>
              </numCache>
            </numRef>
          </val>
        </ser>
        <ser>
          <idx val="1"/>
          <order val="1"/>
          <tx>
            <strRef>
              <f>云端!$A$18</f>
              <strCache>
                <ptCount val="1"/>
                <pt idx="0">
                  <v>fp16 向量算力(TFLOPS)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(云端!$B$1:$Q$1,云端!$V$1:$W$1)</f>
              <strCache>
                <ptCount val="16"/>
                <pt idx="0">
                  <v>云燧T21</v>
                </pt>
                <pt idx="1">
                  <v>Swift A3</v>
                </pt>
                <pt idx="2">
                  <v>A30</v>
                </pt>
                <pt idx="3">
                  <v>V100 SXM</v>
                </pt>
                <pt idx="4">
                  <v>ANT</v>
                </pt>
                <pt idx="5">
                  <v>A10</v>
                </pt>
                <pt idx="6">
                  <v>A100 SXM</v>
                </pt>
                <pt idx="7">
                  <v>H100 PCIe</v>
                </pt>
                <pt idx="8">
                  <v>H100</v>
                </pt>
                <pt idx="9">
                  <v>B100</v>
                </pt>
                <pt idx="10">
                  <v>GB200</v>
                </pt>
                <pt idx="11">
                  <v>Robin</v>
                </pt>
                <pt idx="12">
                  <v>H800</v>
                </pt>
                <pt idx="13">
                  <v>H20</v>
                </pt>
                <pt idx="14">
                  <v>L20</v>
                </pt>
                <pt idx="15">
                  <v>GB300</v>
                </pt>
              </strCache>
            </strRef>
          </cat>
          <val>
            <numRef>
              <f>(云端!$B$18:$Q$18,云端!$V$18:$W$18)</f>
              <numCache>
                <formatCode>0.00_);[Red]\(0.00\)</formatCode>
                <ptCount val="18"/>
                <pt idx="0">
                  <v>0</v>
                </pt>
                <pt idx="1">
                  <v>24</v>
                </pt>
                <pt idx="2">
                  <v>41.2</v>
                </pt>
                <pt idx="3">
                  <v>31.4</v>
                </pt>
                <pt idx="4">
                  <v>8.192</v>
                </pt>
                <pt idx="5">
                  <v>0</v>
                </pt>
                <pt idx="6">
                  <v>78</v>
                </pt>
                <pt idx="7">
                  <v>90</v>
                </pt>
                <pt idx="8">
                  <v>120</v>
                </pt>
                <pt idx="9">
                  <v>120</v>
                </pt>
                <pt idx="10">
                  <v>160</v>
                </pt>
                <pt idx="11">
                  <v>57.344</v>
                </pt>
                <pt idx="12">
                  <v>120</v>
                </pt>
                <pt idx="13">
                  <v>80</v>
                </pt>
                <pt idx="14">
                  <v>120</v>
                </pt>
                <pt idx="15">
                  <v>160</v>
                </pt>
              </numCache>
            </numRef>
          </val>
        </ser>
        <ser>
          <idx val="2"/>
          <order val="2"/>
          <tx>
            <strRef>
              <f>云端!$A$27</f>
              <strCache>
                <ptCount val="1"/>
                <pt idx="0">
                  <v>fp16 张量算力(TFLOPS)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(云端!$B$1:$Q$1,云端!$V$1:$W$1)</f>
              <strCache>
                <ptCount val="16"/>
                <pt idx="0">
                  <v>云燧T21</v>
                </pt>
                <pt idx="1">
                  <v>Swift A3</v>
                </pt>
                <pt idx="2">
                  <v>A30</v>
                </pt>
                <pt idx="3">
                  <v>V100 SXM</v>
                </pt>
                <pt idx="4">
                  <v>ANT</v>
                </pt>
                <pt idx="5">
                  <v>A10</v>
                </pt>
                <pt idx="6">
                  <v>A100 SXM</v>
                </pt>
                <pt idx="7">
                  <v>H100 PCIe</v>
                </pt>
                <pt idx="8">
                  <v>H100</v>
                </pt>
                <pt idx="9">
                  <v>B100</v>
                </pt>
                <pt idx="10">
                  <v>GB200</v>
                </pt>
                <pt idx="11">
                  <v>Robin</v>
                </pt>
                <pt idx="12">
                  <v>H800</v>
                </pt>
                <pt idx="13">
                  <v>H20</v>
                </pt>
                <pt idx="14">
                  <v>L20</v>
                </pt>
                <pt idx="15">
                  <v>GB300</v>
                </pt>
              </strCache>
            </strRef>
          </cat>
          <val>
            <numRef>
              <f>(云端!$B$27:$Q$27,云端!$V$27:$W$27)</f>
              <numCache>
                <formatCode>0.00_);[Red]\(0.00\)</formatCode>
                <ptCount val="18"/>
                <pt idx="0">
                  <v>160</v>
                </pt>
                <pt idx="1">
                  <v>262.144</v>
                </pt>
                <pt idx="2">
                  <v>165</v>
                </pt>
                <pt idx="3">
                  <v>125</v>
                </pt>
                <pt idx="4">
                  <v>98.304</v>
                </pt>
                <pt idx="5">
                  <v>125</v>
                </pt>
                <pt idx="6">
                  <v>312</v>
                </pt>
                <pt idx="7">
                  <v>750</v>
                </pt>
                <pt idx="8">
                  <v>1000</v>
                </pt>
                <pt idx="9">
                  <v>1750</v>
                </pt>
                <pt idx="10">
                  <v>2500</v>
                </pt>
                <pt idx="11">
                  <v>1835.008</v>
                </pt>
                <pt idx="12">
                  <v>989.5</v>
                </pt>
                <pt idx="13">
                  <v>148</v>
                </pt>
                <pt idx="14">
                  <v>119.5</v>
                </pt>
                <pt idx="15">
                  <v>2500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-824891312"/>
        <axId val="-824881520"/>
      </barChart>
      <catAx>
        <axId val="-8248913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-824881520"/>
        <crosses val="autoZero"/>
        <auto val="1"/>
        <lblAlgn val="ctr"/>
        <lblOffset val="100"/>
        <noMultiLvlLbl val="0"/>
      </catAx>
      <valAx>
        <axId val="-8248815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0.00_);[Red]\(0.00\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-82489131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428624</colOff>
      <row>48</row>
      <rowOff>77028</rowOff>
    </from>
    <to>
      <col>12</col>
      <colOff>682763</colOff>
      <row>82</row>
      <rowOff>70126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6"/>
  <sheetViews>
    <sheetView tabSelected="1" zoomScaleNormal="100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Q1" sqref="Q1:Q1048576"/>
    </sheetView>
  </sheetViews>
  <sheetFormatPr baseColWidth="8" defaultRowHeight="16.5"/>
  <cols>
    <col width="35.36328125" bestFit="1" customWidth="1" style="19" min="1" max="1"/>
    <col width="9.6328125" customWidth="1" style="20" min="2" max="2"/>
    <col width="10.08984375" customWidth="1" style="19" min="3" max="3"/>
    <col width="8.453125" customWidth="1" style="20" min="4" max="4"/>
    <col width="12.1796875" customWidth="1" style="20" min="5" max="5"/>
    <col width="9.1796875" customWidth="1" style="19" min="6" max="6"/>
    <col width="9.6328125" customWidth="1" style="20" min="7" max="7"/>
    <col width="12.26953125" customWidth="1" style="20" min="8" max="8"/>
    <col width="12.1796875" customWidth="1" style="21" min="9" max="9"/>
    <col width="12.1796875" bestFit="1" customWidth="1" style="21" min="10" max="10"/>
    <col width="9.6328125" customWidth="1" style="21" min="11" max="11"/>
    <col width="11" customWidth="1" style="21" min="12" max="13"/>
    <col width="12.26953125" customWidth="1" style="21" min="14" max="16"/>
    <col width="11" bestFit="1" customWidth="1" style="21" min="17" max="17"/>
    <col width="12.26953125" customWidth="1" style="21" min="18" max="19"/>
    <col width="8.26953125" bestFit="1" customWidth="1" style="21" min="20" max="20"/>
    <col width="8.7265625" customWidth="1" style="21" min="21" max="16384"/>
  </cols>
  <sheetData>
    <row r="1">
      <c r="A1" s="22" t="n"/>
      <c r="B1" s="23" t="inlineStr">
        <is>
          <t>云燧T21</t>
        </is>
      </c>
      <c r="C1" s="23" t="inlineStr">
        <is>
          <t>Swift A3</t>
        </is>
      </c>
      <c r="D1" s="23" t="inlineStr">
        <is>
          <t>A30</t>
        </is>
      </c>
      <c r="E1" s="23" t="inlineStr">
        <is>
          <t>V100 SXM</t>
        </is>
      </c>
      <c r="F1" s="23" t="inlineStr">
        <is>
          <t>ANT</t>
        </is>
      </c>
      <c r="G1" s="23" t="inlineStr">
        <is>
          <t>A10</t>
        </is>
      </c>
      <c r="H1" s="23" t="inlineStr">
        <is>
          <t>A100 SXM</t>
        </is>
      </c>
      <c r="I1" s="24" t="inlineStr">
        <is>
          <t>H100 PCIe</t>
        </is>
      </c>
      <c r="J1" s="24" t="inlineStr">
        <is>
          <t>H100</t>
        </is>
      </c>
      <c r="K1" s="24" t="inlineStr">
        <is>
          <t>B100</t>
        </is>
      </c>
      <c r="L1" s="24" t="inlineStr">
        <is>
          <t>GB200</t>
        </is>
      </c>
      <c r="M1" s="24" t="inlineStr">
        <is>
          <t>Robin</t>
        </is>
      </c>
      <c r="N1" s="24" t="inlineStr">
        <is>
          <t>H800</t>
        </is>
      </c>
      <c r="O1" s="24" t="inlineStr">
        <is>
          <t>H20</t>
        </is>
      </c>
      <c r="P1" s="24" t="inlineStr">
        <is>
          <t>L20</t>
        </is>
      </c>
      <c r="Q1" s="24" t="inlineStr">
        <is>
          <t>GB300</t>
        </is>
      </c>
      <c r="R1" s="25" t="inlineStr">
        <is>
          <t>R300</t>
        </is>
      </c>
      <c r="S1" s="25" t="inlineStr">
        <is>
          <t>MI355</t>
        </is>
      </c>
      <c r="T1" s="26" t="inlineStr">
        <is>
          <t>B200</t>
        </is>
      </c>
      <c r="U1" s="26" t="inlineStr">
        <is>
          <t>H200 SXM</t>
        </is>
      </c>
      <c r="V1" s="26" t="inlineStr">
        <is>
          <t>Gaudi 3</t>
        </is>
      </c>
      <c r="W1" s="26" t="inlineStr">
        <is>
          <t>TPU v5e</t>
        </is>
      </c>
      <c r="X1" s="26" t="inlineStr">
        <is>
          <t>TPU v5p</t>
        </is>
      </c>
      <c r="Y1" s="26" t="inlineStr">
        <is>
          <t>TPU v6e Trillium</t>
        </is>
      </c>
      <c r="Z1" s="26" t="inlineStr">
        <is>
          <t>TPU v7 Ironwood</t>
        </is>
      </c>
      <c r="AA1" s="26" t="inlineStr">
        <is>
          <t>TPU 8t</t>
        </is>
      </c>
      <c r="AB1" s="26" t="inlineStr">
        <is>
          <t>TPU 8i</t>
        </is>
      </c>
      <c r="AC1" s="26" t="inlineStr">
        <is>
          <t>Trainium 2</t>
        </is>
      </c>
      <c r="AD1" s="26" t="inlineStr">
        <is>
          <t>Trainium 3</t>
        </is>
      </c>
      <c r="AE1" s="26" t="inlineStr">
        <is>
          <t>昇腾910B</t>
        </is>
      </c>
      <c r="AF1" s="26" t="inlineStr">
        <is>
          <t>昇腾910C</t>
        </is>
      </c>
      <c r="AG1" s="26" t="inlineStr">
        <is>
          <t>昇腾950PR</t>
        </is>
      </c>
      <c r="AH1" s="26" t="inlineStr">
        <is>
          <t>昇腾950DT</t>
        </is>
      </c>
      <c r="AI1" s="26" t="inlineStr">
        <is>
          <t>昇腾960DT</t>
        </is>
      </c>
      <c r="AJ1" s="26" t="inlineStr">
        <is>
          <t>昇腾960PR</t>
        </is>
      </c>
      <c r="AK1" s="26" t="inlineStr">
        <is>
          <t>思元590</t>
        </is>
      </c>
      <c r="AL1" s="26" t="inlineStr">
        <is>
          <t>思元690</t>
        </is>
      </c>
      <c r="AM1" s="26" t="inlineStr">
        <is>
          <t>含光800</t>
        </is>
      </c>
      <c r="AN1" s="26" t="inlineStr">
        <is>
          <t>真武V900</t>
        </is>
      </c>
      <c r="AO1" s="26" t="inlineStr">
        <is>
          <t>MTIA v1</t>
        </is>
      </c>
      <c r="AP1" s="26" t="inlineStr">
        <is>
          <t>MTIA v2</t>
        </is>
      </c>
      <c r="AQ1" s="26" t="inlineStr">
        <is>
          <t>MTIA 300</t>
        </is>
      </c>
      <c r="AR1" s="26" t="inlineStr">
        <is>
          <t>MTIA 400</t>
        </is>
      </c>
      <c r="AS1" s="26" t="inlineStr">
        <is>
          <t>MTIA 450</t>
        </is>
      </c>
      <c r="AT1" s="26" t="inlineStr">
        <is>
          <t>MTIA 500</t>
        </is>
      </c>
    </row>
    <row r="2">
      <c r="A2" s="27" t="inlineStr">
        <is>
          <t>工艺(nm)</t>
        </is>
      </c>
      <c r="B2" s="22" t="inlineStr">
        <is>
          <t>TBD</t>
        </is>
      </c>
      <c r="C2" s="28" t="inlineStr">
        <is>
          <t>n7</t>
        </is>
      </c>
      <c r="D2" s="22" t="inlineStr">
        <is>
          <t>n7</t>
        </is>
      </c>
      <c r="E2" s="22" t="inlineStr">
        <is>
          <t>TBD</t>
        </is>
      </c>
      <c r="F2" s="28" t="inlineStr">
        <is>
          <t>n7</t>
        </is>
      </c>
      <c r="G2" s="22" t="inlineStr">
        <is>
          <t>TBD</t>
        </is>
      </c>
      <c r="H2" s="22" t="inlineStr">
        <is>
          <t>n7</t>
        </is>
      </c>
      <c r="I2" s="28" t="inlineStr">
        <is>
          <t>n5</t>
        </is>
      </c>
      <c r="J2" s="28" t="inlineStr">
        <is>
          <t>n5</t>
        </is>
      </c>
      <c r="K2" s="28" t="inlineStr">
        <is>
          <t>n4p</t>
        </is>
      </c>
      <c r="L2" s="28" t="inlineStr">
        <is>
          <t>n4p</t>
        </is>
      </c>
      <c r="M2" s="28" t="inlineStr">
        <is>
          <t>n5</t>
        </is>
      </c>
      <c r="N2" s="28" t="inlineStr">
        <is>
          <t>n5</t>
        </is>
      </c>
      <c r="O2" s="28" t="inlineStr">
        <is>
          <t>n5</t>
        </is>
      </c>
      <c r="P2" s="28" t="inlineStr">
        <is>
          <t>n7</t>
        </is>
      </c>
      <c r="Q2" s="28" t="inlineStr">
        <is>
          <t>n4p</t>
        </is>
      </c>
      <c r="R2" s="29" t="inlineStr">
        <is>
          <t>n3</t>
        </is>
      </c>
      <c r="S2" s="29" t="inlineStr">
        <is>
          <t>n3</t>
        </is>
      </c>
      <c r="T2" t="inlineStr">
        <is>
          <t>n4p</t>
        </is>
      </c>
      <c r="U2" t="inlineStr">
        <is>
          <t>n5</t>
        </is>
      </c>
      <c r="V2" t="inlineStr">
        <is>
          <t>n5</t>
        </is>
      </c>
      <c r="W2" s="38" t="inlineStr">
        <is>
          <t>n5</t>
        </is>
      </c>
      <c r="X2" s="38" t="inlineStr">
        <is>
          <t>n5级</t>
        </is>
      </c>
      <c r="Y2" t="inlineStr">
        <is>
          <t>未公开</t>
        </is>
      </c>
      <c r="Z2" s="38" t="inlineStr">
        <is>
          <t>n3级</t>
        </is>
      </c>
      <c r="AA2" s="38" t="inlineStr">
        <is>
          <t>n2目标</t>
        </is>
      </c>
      <c r="AB2" s="38" t="inlineStr">
        <is>
          <t>n2目标</t>
        </is>
      </c>
      <c r="AC2" s="38" t="inlineStr">
        <is>
          <t>n5</t>
        </is>
      </c>
      <c r="AD2" s="38" t="inlineStr">
        <is>
          <t>n3</t>
        </is>
      </c>
      <c r="AE2" s="38" t="inlineStr">
        <is>
          <t>n7级(SMIC N+1)</t>
        </is>
      </c>
      <c r="AF2" s="38" t="inlineStr">
        <is>
          <t>n7级</t>
        </is>
      </c>
      <c r="AG2" s="38" t="inlineStr">
        <is>
          <t>SMIC N+2(推断)</t>
        </is>
      </c>
      <c r="AH2" s="38" t="inlineStr">
        <is>
          <t>SMIC N+2(推断)</t>
        </is>
      </c>
      <c r="AI2" t="inlineStr">
        <is>
          <t>未公开</t>
        </is>
      </c>
      <c r="AJ2" t="inlineStr">
        <is>
          <t>未公开</t>
        </is>
      </c>
      <c r="AK2" s="38" t="inlineStr">
        <is>
          <t>7nm Chiplet</t>
        </is>
      </c>
      <c r="AL2" s="38" t="inlineStr">
        <is>
          <t>双die 5nm级/双7nm两说</t>
        </is>
      </c>
      <c r="AM2" t="inlineStr">
        <is>
          <t>12nm</t>
        </is>
      </c>
      <c r="AN2" t="inlineStr">
        <is>
          <t>未公开</t>
        </is>
      </c>
      <c r="AO2" t="inlineStr">
        <is>
          <t>n7</t>
        </is>
      </c>
      <c r="AP2" t="inlineStr">
        <is>
          <t>n5</t>
        </is>
      </c>
      <c r="AQ2" t="inlineStr">
        <is>
          <t>2.5D CoWoS(制程未公开)</t>
        </is>
      </c>
      <c r="AR2" t="inlineStr">
        <is>
          <t>未公开</t>
        </is>
      </c>
      <c r="AS2" t="inlineStr">
        <is>
          <t>未公开</t>
        </is>
      </c>
      <c r="AT2" t="inlineStr">
        <is>
          <t>2x2 chiplet(未公开)</t>
        </is>
      </c>
    </row>
    <row r="3">
      <c r="A3" s="27" t="inlineStr">
        <is>
          <t>金属层</t>
        </is>
      </c>
      <c r="B3" s="22" t="inlineStr">
        <is>
          <t>TBD</t>
        </is>
      </c>
      <c r="C3" s="22" t="inlineStr">
        <is>
          <t>TBD</t>
        </is>
      </c>
      <c r="D3" s="22" t="inlineStr">
        <is>
          <t>TBD</t>
        </is>
      </c>
      <c r="E3" s="22" t="inlineStr">
        <is>
          <t>TBD</t>
        </is>
      </c>
      <c r="F3" s="22" t="inlineStr">
        <is>
          <t>TBD</t>
        </is>
      </c>
      <c r="G3" s="22" t="inlineStr">
        <is>
          <t>TBD</t>
        </is>
      </c>
      <c r="H3" s="22" t="inlineStr">
        <is>
          <t>TBD</t>
        </is>
      </c>
      <c r="I3" s="22" t="inlineStr">
        <is>
          <t>TBD</t>
        </is>
      </c>
      <c r="J3" s="22" t="inlineStr">
        <is>
          <t>TBD</t>
        </is>
      </c>
      <c r="K3" s="22" t="inlineStr">
        <is>
          <t>TBD</t>
        </is>
      </c>
      <c r="L3" s="22" t="inlineStr">
        <is>
          <t>TBD</t>
        </is>
      </c>
      <c r="M3" s="22" t="n">
        <v>17</v>
      </c>
      <c r="N3" s="22" t="inlineStr">
        <is>
          <t>TBD</t>
        </is>
      </c>
      <c r="O3" s="22" t="inlineStr">
        <is>
          <t>TBD</t>
        </is>
      </c>
      <c r="P3" s="22" t="inlineStr">
        <is>
          <t>TBD</t>
        </is>
      </c>
      <c r="Q3" s="22" t="inlineStr">
        <is>
          <t>TBD</t>
        </is>
      </c>
      <c r="R3" s="22" t="inlineStr">
        <is>
          <t>TBD</t>
        </is>
      </c>
      <c r="S3" s="22" t="inlineStr">
        <is>
          <t>TBD</t>
        </is>
      </c>
      <c r="T3" s="21">
        <f>R3/Q3</f>
        <v/>
      </c>
    </row>
    <row r="4">
      <c r="A4" s="27" t="inlineStr">
        <is>
          <t>时钟频率(GHz)</t>
        </is>
      </c>
      <c r="B4" s="22" t="inlineStr">
        <is>
          <t>TBD</t>
        </is>
      </c>
      <c r="C4" s="28" t="n">
        <v>1.6</v>
      </c>
      <c r="D4" s="22" t="n">
        <v>1.695</v>
      </c>
      <c r="E4" s="22" t="n">
        <v>1.53</v>
      </c>
      <c r="F4" s="28" t="n">
        <v>1</v>
      </c>
      <c r="G4" s="22" t="n">
        <v>1.695</v>
      </c>
      <c r="H4" s="22" t="n">
        <v>1.41</v>
      </c>
      <c r="I4" s="28" t="n">
        <v>1.9533</v>
      </c>
      <c r="J4" s="28" t="n">
        <v>1.9533</v>
      </c>
      <c r="K4" s="28" t="n">
        <v>1.95</v>
      </c>
      <c r="L4" s="28" t="n">
        <v>1.95</v>
      </c>
      <c r="M4" s="28" t="n">
        <v>1.75</v>
      </c>
      <c r="N4" s="28" t="n">
        <v>1.9533</v>
      </c>
      <c r="O4" s="28" t="n">
        <v>1.9533</v>
      </c>
      <c r="P4" s="28" t="inlineStr">
        <is>
          <t>TBD</t>
        </is>
      </c>
      <c r="Q4" s="28" t="n">
        <v>1.95</v>
      </c>
      <c r="R4" s="29">
        <f>Q4*1.11</f>
        <v/>
      </c>
      <c r="S4" s="29" t="n">
        <v>2.4</v>
      </c>
      <c r="T4" s="39" t="n">
        <v>1.965</v>
      </c>
      <c r="U4" s="38" t="n">
        <v>1.98</v>
      </c>
      <c r="V4" s="38" t="n">
        <v>1.75</v>
      </c>
      <c r="W4" t="inlineStr">
        <is>
          <t>未公开</t>
        </is>
      </c>
      <c r="X4" t="inlineStr">
        <is>
          <t>未公开</t>
        </is>
      </c>
      <c r="Y4" t="inlineStr">
        <is>
          <t>未公开</t>
        </is>
      </c>
      <c r="Z4" t="inlineStr">
        <is>
          <t>未公开</t>
        </is>
      </c>
      <c r="AA4" t="inlineStr">
        <is>
          <t>未公开</t>
        </is>
      </c>
      <c r="AB4" t="inlineStr">
        <is>
          <t>未公开</t>
        </is>
      </c>
      <c r="AC4" t="inlineStr">
        <is>
          <t>未公开</t>
        </is>
      </c>
      <c r="AD4" t="inlineStr">
        <is>
          <t>未公开</t>
        </is>
      </c>
      <c r="AE4" t="inlineStr">
        <is>
          <t>未公开</t>
        </is>
      </c>
      <c r="AF4" t="inlineStr">
        <is>
          <t>未公开</t>
        </is>
      </c>
      <c r="AG4" t="inlineStr">
        <is>
          <t>未公开</t>
        </is>
      </c>
      <c r="AH4" t="inlineStr">
        <is>
          <t>未公开</t>
        </is>
      </c>
      <c r="AI4" t="inlineStr">
        <is>
          <t>未公开</t>
        </is>
      </c>
      <c r="AJ4" t="inlineStr">
        <is>
          <t>未公开</t>
        </is>
      </c>
      <c r="AK4" t="inlineStr">
        <is>
          <t>未公开</t>
        </is>
      </c>
      <c r="AL4" t="inlineStr">
        <is>
          <t>未公开</t>
        </is>
      </c>
      <c r="AM4" t="inlineStr">
        <is>
          <t>未公开</t>
        </is>
      </c>
      <c r="AN4" t="inlineStr">
        <is>
          <t>未公开</t>
        </is>
      </c>
      <c r="AO4" t="inlineStr">
        <is>
          <t>未公开</t>
        </is>
      </c>
      <c r="AP4" t="inlineStr">
        <is>
          <t>未公开</t>
        </is>
      </c>
      <c r="AQ4" t="inlineStr">
        <is>
          <t>未公开</t>
        </is>
      </c>
      <c r="AR4" t="inlineStr">
        <is>
          <t>未公开</t>
        </is>
      </c>
      <c r="AS4" t="inlineStr">
        <is>
          <t>未公开</t>
        </is>
      </c>
      <c r="AT4" t="inlineStr">
        <is>
          <t>未公开</t>
        </is>
      </c>
    </row>
    <row r="5">
      <c r="A5" s="27" t="inlineStr">
        <is>
          <t>Memory Type</t>
        </is>
      </c>
      <c r="B5" s="22" t="inlineStr">
        <is>
          <t>HBM2e</t>
        </is>
      </c>
      <c r="C5" s="28" t="inlineStr">
        <is>
          <t>HBM2e</t>
        </is>
      </c>
      <c r="D5" s="22" t="inlineStr">
        <is>
          <t>HBM2</t>
        </is>
      </c>
      <c r="E5" s="22" t="inlineStr">
        <is>
          <t>TBD</t>
        </is>
      </c>
      <c r="F5" s="28" t="inlineStr">
        <is>
          <t>LPDDR5</t>
        </is>
      </c>
      <c r="G5" s="22" t="inlineStr">
        <is>
          <t>GDDR6</t>
        </is>
      </c>
      <c r="H5" s="22" t="inlineStr">
        <is>
          <t>HBM2e</t>
        </is>
      </c>
      <c r="I5" s="28" t="inlineStr">
        <is>
          <t>HBM3</t>
        </is>
      </c>
      <c r="J5" s="28" t="inlineStr">
        <is>
          <t>HBM3</t>
        </is>
      </c>
      <c r="K5" s="28" t="inlineStr">
        <is>
          <t>HBM3e</t>
        </is>
      </c>
      <c r="L5" s="28" t="inlineStr">
        <is>
          <t>HBM3e</t>
        </is>
      </c>
      <c r="M5" s="28" t="inlineStr">
        <is>
          <t>HBM3e</t>
        </is>
      </c>
      <c r="N5" s="28" t="inlineStr">
        <is>
          <t>HBM3</t>
        </is>
      </c>
      <c r="O5" s="28" t="inlineStr">
        <is>
          <t>HBM3</t>
        </is>
      </c>
      <c r="P5" s="28" t="inlineStr">
        <is>
          <t>GDDR6</t>
        </is>
      </c>
      <c r="Q5" s="28" t="inlineStr">
        <is>
          <t>HBM3e</t>
        </is>
      </c>
      <c r="R5" s="29" t="inlineStr">
        <is>
          <t>HBM4</t>
        </is>
      </c>
      <c r="S5" s="29" t="inlineStr">
        <is>
          <t>HBM4</t>
        </is>
      </c>
      <c r="T5" s="21" t="inlineStr">
        <is>
          <t>HBM3e</t>
        </is>
      </c>
      <c r="U5" t="inlineStr">
        <is>
          <t>HBM3e</t>
        </is>
      </c>
      <c r="V5" t="inlineStr">
        <is>
          <t>HBM2e</t>
        </is>
      </c>
      <c r="W5" t="inlineStr">
        <is>
          <t>HBM2e</t>
        </is>
      </c>
      <c r="X5" t="inlineStr">
        <is>
          <t>HBM3</t>
        </is>
      </c>
      <c r="Y5" t="inlineStr">
        <is>
          <t>HBM</t>
        </is>
      </c>
      <c r="Z5" t="inlineStr">
        <is>
          <t>HBM3e</t>
        </is>
      </c>
      <c r="AA5" t="inlineStr">
        <is>
          <t>HBM3e</t>
        </is>
      </c>
      <c r="AB5" t="inlineStr">
        <is>
          <t>HBM</t>
        </is>
      </c>
      <c r="AC5" t="inlineStr">
        <is>
          <t>HBM3</t>
        </is>
      </c>
      <c r="AD5" t="inlineStr">
        <is>
          <t>HBM3e</t>
        </is>
      </c>
      <c r="AE5" t="inlineStr">
        <is>
          <t>HBM2e</t>
        </is>
      </c>
      <c r="AF5" t="inlineStr">
        <is>
          <t>HBM2e</t>
        </is>
      </c>
      <c r="AG5" t="inlineStr">
        <is>
          <t>HiBL 1.0自研HBM</t>
        </is>
      </c>
      <c r="AH5" t="inlineStr">
        <is>
          <t>HiZQ 2.0自研HBM</t>
        </is>
      </c>
      <c r="AI5" s="38" t="inlineStr">
        <is>
          <t>疑HBM3e级(未明)</t>
        </is>
      </c>
      <c r="AJ5" t="inlineStr">
        <is>
          <t>未披露</t>
        </is>
      </c>
      <c r="AK5" t="inlineStr">
        <is>
          <t>HBM2e</t>
        </is>
      </c>
      <c r="AL5" t="inlineStr">
        <is>
          <t>HBM3</t>
        </is>
      </c>
      <c r="AM5" t="inlineStr">
        <is>
          <t>片上SRAM+板载DRAM</t>
        </is>
      </c>
      <c r="AN5" s="38" t="inlineStr">
        <is>
          <t>疑HBM3e级(推断)</t>
        </is>
      </c>
      <c r="AO5" t="inlineStr">
        <is>
          <t>LPDDR5</t>
        </is>
      </c>
      <c r="AP5" t="inlineStr">
        <is>
          <t>LPDDR5</t>
        </is>
      </c>
      <c r="AQ5" t="inlineStr">
        <is>
          <t>HBM3e</t>
        </is>
      </c>
      <c r="AR5" t="inlineStr">
        <is>
          <t>HBM</t>
        </is>
      </c>
      <c r="AS5" t="inlineStr">
        <is>
          <t>HBM</t>
        </is>
      </c>
      <c r="AT5" t="inlineStr">
        <is>
          <t>HBM</t>
        </is>
      </c>
    </row>
    <row r="6">
      <c r="A6" s="27" t="inlineStr">
        <is>
          <t>HBM个数</t>
        </is>
      </c>
      <c r="B6" s="22" t="n"/>
      <c r="C6" s="28" t="n"/>
      <c r="D6" s="22" t="n"/>
      <c r="E6" s="22" t="n"/>
      <c r="F6" s="28" t="n"/>
      <c r="G6" s="22" t="n"/>
      <c r="H6" s="22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>
        <v>8</v>
      </c>
      <c r="R6" s="29" t="n">
        <v>16</v>
      </c>
      <c r="S6" s="29" t="n">
        <v>8</v>
      </c>
      <c r="T6" t="n">
        <v>8</v>
      </c>
      <c r="U6" t="n">
        <v>6</v>
      </c>
      <c r="V6" t="n">
        <v>8</v>
      </c>
      <c r="Z6" t="n">
        <v>8</v>
      </c>
      <c r="AQ6" t="n">
        <v>6</v>
      </c>
    </row>
    <row r="7">
      <c r="A7" s="27" t="inlineStr">
        <is>
          <t>DDR/HBM带宽(GB/s)</t>
        </is>
      </c>
      <c r="B7" s="22" t="n">
        <v>1843</v>
      </c>
      <c r="C7" s="22">
        <f>3.2*1024/8*3</f>
        <v/>
      </c>
      <c r="D7" s="22" t="n">
        <v>933</v>
      </c>
      <c r="E7" s="22" t="n">
        <v>900</v>
      </c>
      <c r="F7" s="22" t="n">
        <v>300</v>
      </c>
      <c r="G7" s="22" t="n">
        <v>600</v>
      </c>
      <c r="H7" s="22">
        <f>3.2*1024/8*5</f>
        <v/>
      </c>
      <c r="I7" s="22">
        <f>6.4*1024/8*5</f>
        <v/>
      </c>
      <c r="J7" s="22">
        <f>6.4*1024/8*5</f>
        <v/>
      </c>
      <c r="K7" s="22" t="n">
        <v>8000</v>
      </c>
      <c r="L7" s="22" t="n">
        <v>8000</v>
      </c>
      <c r="M7" s="22">
        <f>8*1024*8/8</f>
        <v/>
      </c>
      <c r="N7" s="22" t="n">
        <v>3350</v>
      </c>
      <c r="O7" s="22" t="n">
        <v>4096</v>
      </c>
      <c r="P7" s="22" t="n">
        <v>864</v>
      </c>
      <c r="Q7" s="22" t="n">
        <v>8000</v>
      </c>
      <c r="R7" s="30" t="n">
        <v>13000</v>
      </c>
      <c r="S7" s="30" t="n">
        <v>8000</v>
      </c>
      <c r="T7" s="21" t="n">
        <v>8000</v>
      </c>
      <c r="U7" s="21" t="n">
        <v>4800</v>
      </c>
      <c r="V7" s="21" t="n">
        <v>3700</v>
      </c>
      <c r="W7" s="21" t="n">
        <v>819</v>
      </c>
      <c r="X7" t="n">
        <v>2760</v>
      </c>
      <c r="Y7" t="n">
        <v>1640</v>
      </c>
      <c r="Z7" t="n">
        <v>7370</v>
      </c>
      <c r="AA7" t="n">
        <v>6500</v>
      </c>
      <c r="AB7" t="n">
        <v>8600</v>
      </c>
      <c r="AC7" t="n">
        <v>2900</v>
      </c>
      <c r="AD7" t="n">
        <v>4900</v>
      </c>
      <c r="AE7" s="38" t="n">
        <v>800</v>
      </c>
      <c r="AF7" s="38" t="n">
        <v>3200</v>
      </c>
      <c r="AG7" s="38" t="n">
        <v>1500</v>
      </c>
      <c r="AH7" t="n">
        <v>4000</v>
      </c>
      <c r="AI7" s="38" t="n">
        <v>9600</v>
      </c>
      <c r="AJ7" t="inlineStr">
        <is>
          <t>未披露</t>
        </is>
      </c>
      <c r="AK7" s="38" t="n">
        <v>2000</v>
      </c>
      <c r="AL7" s="38" t="n">
        <v>3350</v>
      </c>
      <c r="AM7" t="inlineStr">
        <is>
          <t>未公开</t>
        </is>
      </c>
      <c r="AN7" s="38" t="n">
        <v>7000</v>
      </c>
      <c r="AO7" t="n">
        <v>176</v>
      </c>
      <c r="AP7" t="n">
        <v>204.8</v>
      </c>
      <c r="AQ7" t="n">
        <v>6100</v>
      </c>
      <c r="AR7" t="n">
        <v>9200</v>
      </c>
      <c r="AS7" t="n">
        <v>18400</v>
      </c>
      <c r="AT7" t="n">
        <v>27600</v>
      </c>
    </row>
    <row r="8">
      <c r="A8" s="27" t="inlineStr">
        <is>
          <t>L2$ Read带宽(GB/s)</t>
        </is>
      </c>
      <c r="B8" s="22" t="inlineStr">
        <is>
          <t>TBD</t>
        </is>
      </c>
      <c r="C8" s="22" t="inlineStr">
        <is>
          <t>TBD</t>
        </is>
      </c>
      <c r="D8" s="22" t="inlineStr">
        <is>
          <t>TBD</t>
        </is>
      </c>
      <c r="E8" s="22" t="inlineStr">
        <is>
          <t>TBD</t>
        </is>
      </c>
      <c r="F8" s="22" t="inlineStr">
        <is>
          <t>TBD</t>
        </is>
      </c>
      <c r="G8" s="22" t="inlineStr">
        <is>
          <t>TBD</t>
        </is>
      </c>
      <c r="H8" s="22" t="inlineStr">
        <is>
          <t>TBD</t>
        </is>
      </c>
      <c r="I8" s="22" t="inlineStr">
        <is>
          <t>TBD</t>
        </is>
      </c>
      <c r="J8" s="22" t="inlineStr">
        <is>
          <t>TBD</t>
        </is>
      </c>
      <c r="K8" s="22" t="inlineStr">
        <is>
          <t>TBD</t>
        </is>
      </c>
      <c r="L8" s="22" t="inlineStr">
        <is>
          <t>TBD</t>
        </is>
      </c>
      <c r="M8" s="22">
        <f>512*M4*M14</f>
        <v/>
      </c>
      <c r="N8" s="22" t="inlineStr">
        <is>
          <t>TBD</t>
        </is>
      </c>
      <c r="O8" s="22" t="inlineStr">
        <is>
          <t>TBD</t>
        </is>
      </c>
      <c r="P8" s="22" t="inlineStr">
        <is>
          <t>TBD</t>
        </is>
      </c>
      <c r="Q8" s="22" t="inlineStr">
        <is>
          <t>TBD</t>
        </is>
      </c>
      <c r="R8" s="22" t="inlineStr">
        <is>
          <t>TBD</t>
        </is>
      </c>
      <c r="S8" s="22" t="inlineStr">
        <is>
          <t>TBD</t>
        </is>
      </c>
      <c r="T8" s="21">
        <f>R8/Q8</f>
        <v/>
      </c>
      <c r="U8" s="21">
        <f>#REF!/#REF!</f>
        <v/>
      </c>
      <c r="W8" s="21">
        <f>U8/V7</f>
        <v/>
      </c>
    </row>
    <row r="9">
      <c r="A9" s="27" t="inlineStr">
        <is>
          <t>L2$ Store带宽(GB/s)</t>
        </is>
      </c>
      <c r="B9" s="22" t="inlineStr">
        <is>
          <t>TBD</t>
        </is>
      </c>
      <c r="C9" s="22" t="inlineStr">
        <is>
          <t>TBD</t>
        </is>
      </c>
      <c r="D9" s="22" t="inlineStr">
        <is>
          <t>TBD</t>
        </is>
      </c>
      <c r="E9" s="22" t="inlineStr">
        <is>
          <t>TBD</t>
        </is>
      </c>
      <c r="F9" s="22" t="inlineStr">
        <is>
          <t>TBD</t>
        </is>
      </c>
      <c r="G9" s="22" t="inlineStr">
        <is>
          <t>TBD</t>
        </is>
      </c>
      <c r="H9" s="22" t="inlineStr">
        <is>
          <t>TBD</t>
        </is>
      </c>
      <c r="I9" s="22" t="inlineStr">
        <is>
          <t>TBD</t>
        </is>
      </c>
      <c r="J9" s="22" t="inlineStr">
        <is>
          <t>TBD</t>
        </is>
      </c>
      <c r="K9" s="22" t="inlineStr">
        <is>
          <t>TBD</t>
        </is>
      </c>
      <c r="L9" s="22" t="inlineStr">
        <is>
          <t>TBD</t>
        </is>
      </c>
      <c r="M9" s="22">
        <f>512*M4*M14</f>
        <v/>
      </c>
      <c r="N9" s="22" t="inlineStr">
        <is>
          <t>TBD</t>
        </is>
      </c>
      <c r="O9" s="22" t="inlineStr">
        <is>
          <t>TBD</t>
        </is>
      </c>
      <c r="P9" s="22" t="inlineStr">
        <is>
          <t>TBD</t>
        </is>
      </c>
      <c r="Q9" s="22" t="inlineStr">
        <is>
          <t>TBD</t>
        </is>
      </c>
      <c r="R9" s="22" t="inlineStr">
        <is>
          <t>TBD</t>
        </is>
      </c>
      <c r="S9" s="22" t="inlineStr">
        <is>
          <t>TBD</t>
        </is>
      </c>
      <c r="T9" s="21">
        <f>R9/Q9</f>
        <v/>
      </c>
      <c r="U9" s="21">
        <f>K26/K7</f>
        <v/>
      </c>
      <c r="V9" s="21">
        <f>U9/V7</f>
        <v/>
      </c>
    </row>
    <row r="10">
      <c r="A10" s="27" t="inlineStr">
        <is>
          <t>DRAM容量(GB)</t>
        </is>
      </c>
      <c r="B10" s="22" t="inlineStr">
        <is>
          <t>TBD</t>
        </is>
      </c>
      <c r="C10" s="22" t="inlineStr">
        <is>
          <t>TBD</t>
        </is>
      </c>
      <c r="D10" s="22" t="inlineStr">
        <is>
          <t>TBD</t>
        </is>
      </c>
      <c r="E10" s="22" t="inlineStr">
        <is>
          <t>TBD</t>
        </is>
      </c>
      <c r="F10" s="22" t="inlineStr">
        <is>
          <t>TBD</t>
        </is>
      </c>
      <c r="G10" s="22" t="inlineStr">
        <is>
          <t>TBD</t>
        </is>
      </c>
      <c r="H10" s="22">
        <f>16*5</f>
        <v/>
      </c>
      <c r="I10" s="22">
        <f>16*5</f>
        <v/>
      </c>
      <c r="J10" s="22">
        <f>16*5</f>
        <v/>
      </c>
      <c r="K10" s="22" t="n">
        <v>192</v>
      </c>
      <c r="L10" s="22" t="n">
        <v>192</v>
      </c>
      <c r="M10" s="22">
        <f>24*8</f>
        <v/>
      </c>
      <c r="N10" s="22">
        <f>16*5</f>
        <v/>
      </c>
      <c r="O10" s="22" t="n">
        <v>96</v>
      </c>
      <c r="P10" s="22" t="n">
        <v>48</v>
      </c>
      <c r="Q10" s="22" t="n">
        <v>288</v>
      </c>
      <c r="R10" s="30" t="n">
        <v>533</v>
      </c>
      <c r="S10" s="30" t="n">
        <v>288</v>
      </c>
      <c r="T10" s="21" t="n">
        <v>192</v>
      </c>
      <c r="U10" t="n">
        <v>141</v>
      </c>
      <c r="V10" t="n">
        <v>128</v>
      </c>
      <c r="W10" t="n">
        <v>16</v>
      </c>
      <c r="X10" t="n">
        <v>95</v>
      </c>
      <c r="Y10" t="n">
        <v>32</v>
      </c>
      <c r="Z10" t="n">
        <v>192</v>
      </c>
      <c r="AA10" t="n">
        <v>216</v>
      </c>
      <c r="AB10" t="n">
        <v>288</v>
      </c>
      <c r="AC10" t="n">
        <v>96</v>
      </c>
      <c r="AD10" t="n">
        <v>144</v>
      </c>
      <c r="AE10" t="n">
        <v>64</v>
      </c>
      <c r="AF10" t="n">
        <v>128</v>
      </c>
      <c r="AG10" t="n">
        <v>128</v>
      </c>
      <c r="AH10" t="n">
        <v>144</v>
      </c>
      <c r="AI10" s="38" t="n">
        <v>288</v>
      </c>
      <c r="AJ10" t="inlineStr">
        <is>
          <t>未披露</t>
        </is>
      </c>
      <c r="AK10" t="n">
        <v>96</v>
      </c>
      <c r="AL10" t="n">
        <v>196</v>
      </c>
      <c r="AM10" t="inlineStr">
        <is>
          <t>未公开</t>
        </is>
      </c>
      <c r="AN10" t="n">
        <v>216</v>
      </c>
      <c r="AO10" t="n">
        <v>64</v>
      </c>
      <c r="AP10" t="n">
        <v>128</v>
      </c>
      <c r="AQ10" t="n">
        <v>216</v>
      </c>
      <c r="AR10" t="n">
        <v>288</v>
      </c>
      <c r="AT10" s="38" t="n">
        <v>448</v>
      </c>
    </row>
    <row r="11">
      <c r="A11" s="31" t="inlineStr">
        <is>
          <t>L2 cache(MB)</t>
        </is>
      </c>
      <c r="B11" s="22" t="inlineStr">
        <is>
          <t>TBD</t>
        </is>
      </c>
      <c r="C11" s="22" t="n">
        <v>24</v>
      </c>
      <c r="D11" s="22" t="inlineStr">
        <is>
          <t>TBD</t>
        </is>
      </c>
      <c r="E11" s="22" t="n">
        <v>6</v>
      </c>
      <c r="F11" s="22" t="inlineStr">
        <is>
          <t>TBD</t>
        </is>
      </c>
      <c r="G11" s="22" t="n">
        <v>40</v>
      </c>
      <c r="H11" s="22" t="n">
        <v>40</v>
      </c>
      <c r="I11" s="22" t="n">
        <v>50</v>
      </c>
      <c r="J11" s="22" t="n">
        <v>50</v>
      </c>
      <c r="K11" s="22" t="inlineStr">
        <is>
          <t>TBD</t>
        </is>
      </c>
      <c r="L11" s="22" t="inlineStr">
        <is>
          <t>TBD</t>
        </is>
      </c>
      <c r="M11" s="22" t="n">
        <v>16</v>
      </c>
      <c r="N11" s="22" t="n">
        <v>50</v>
      </c>
      <c r="O11" s="22" t="n">
        <v>60</v>
      </c>
      <c r="P11" s="22" t="n">
        <v>96</v>
      </c>
      <c r="Q11" s="22" t="inlineStr">
        <is>
          <t>TBD</t>
        </is>
      </c>
      <c r="R11" s="22" t="inlineStr">
        <is>
          <t>TBD</t>
        </is>
      </c>
      <c r="S11" s="30" t="n">
        <v>256</v>
      </c>
      <c r="T11" s="21">
        <f>R11/Q11</f>
        <v/>
      </c>
    </row>
    <row r="12">
      <c r="A12" s="31" t="inlineStr">
        <is>
          <t>Regfile(MB)</t>
        </is>
      </c>
      <c r="B12" s="22" t="inlineStr">
        <is>
          <t>TBD</t>
        </is>
      </c>
      <c r="C12" s="22">
        <f>512*4*C14/1024</f>
        <v/>
      </c>
      <c r="D12" s="22" t="inlineStr">
        <is>
          <t>TBD</t>
        </is>
      </c>
      <c r="E12" s="22" t="inlineStr">
        <is>
          <t>TBD</t>
        </is>
      </c>
      <c r="F12" s="22" t="inlineStr">
        <is>
          <t>TBD</t>
        </is>
      </c>
      <c r="G12" s="22" t="inlineStr">
        <is>
          <t>TBD</t>
        </is>
      </c>
      <c r="H12" s="22">
        <f>256*H14/1024</f>
        <v/>
      </c>
      <c r="I12" s="22">
        <f>256*I14/1024</f>
        <v/>
      </c>
      <c r="J12" s="22">
        <f>256*J14/1024</f>
        <v/>
      </c>
      <c r="K12" s="22" t="inlineStr">
        <is>
          <t>TBD</t>
        </is>
      </c>
      <c r="L12" s="22" t="inlineStr">
        <is>
          <t>TBD</t>
        </is>
      </c>
      <c r="M12" s="22">
        <f>1024*4*M14/1024</f>
        <v/>
      </c>
      <c r="N12" s="22">
        <f>256*N14/1024</f>
        <v/>
      </c>
      <c r="O12" s="22">
        <f>256*O14/1024</f>
        <v/>
      </c>
      <c r="P12" s="22" t="inlineStr">
        <is>
          <t>TBD</t>
        </is>
      </c>
      <c r="Q12" s="22" t="inlineStr">
        <is>
          <t>TBD</t>
        </is>
      </c>
      <c r="R12" s="22" t="inlineStr">
        <is>
          <t>TBD</t>
        </is>
      </c>
      <c r="S12" s="22" t="inlineStr">
        <is>
          <t>TBD</t>
        </is>
      </c>
      <c r="T12" s="21">
        <f>R12/Q12</f>
        <v/>
      </c>
    </row>
    <row r="13">
      <c r="A13" s="31" t="inlineStr">
        <is>
          <t>SharedMem(MB)</t>
        </is>
      </c>
      <c r="B13" s="22" t="inlineStr">
        <is>
          <t>TBD</t>
        </is>
      </c>
      <c r="C13" s="22">
        <f>2*C14</f>
        <v/>
      </c>
      <c r="D13" s="22" t="inlineStr">
        <is>
          <t>TBD</t>
        </is>
      </c>
      <c r="E13" s="22" t="inlineStr">
        <is>
          <t>TBD</t>
        </is>
      </c>
      <c r="F13" s="22" t="inlineStr">
        <is>
          <t>TBD</t>
        </is>
      </c>
      <c r="G13" s="22" t="inlineStr">
        <is>
          <t>TBD</t>
        </is>
      </c>
      <c r="H13" s="22">
        <f>164*H14/1024</f>
        <v/>
      </c>
      <c r="I13" s="22">
        <f>228*I14/1024</f>
        <v/>
      </c>
      <c r="J13" s="22">
        <f>228*J14/1024</f>
        <v/>
      </c>
      <c r="K13" s="22" t="inlineStr">
        <is>
          <t>TBD</t>
        </is>
      </c>
      <c r="L13" s="22" t="inlineStr">
        <is>
          <t>TBD</t>
        </is>
      </c>
      <c r="M13" s="22">
        <f>2*M14</f>
        <v/>
      </c>
      <c r="N13" s="22">
        <f>228*N14/1024</f>
        <v/>
      </c>
      <c r="O13" s="22">
        <f>228*O14/1024</f>
        <v/>
      </c>
      <c r="P13" s="22" t="inlineStr">
        <is>
          <t>TBD</t>
        </is>
      </c>
      <c r="Q13" s="22" t="inlineStr">
        <is>
          <t>TBD</t>
        </is>
      </c>
      <c r="R13" s="22" t="inlineStr">
        <is>
          <t>TBD</t>
        </is>
      </c>
      <c r="S13" s="22" t="inlineStr">
        <is>
          <t>TBD</t>
        </is>
      </c>
      <c r="T13" s="21">
        <f>R13/Q13</f>
        <v/>
      </c>
    </row>
    <row r="14">
      <c r="A14" s="27" t="inlineStr">
        <is>
          <t>cluster数目</t>
        </is>
      </c>
      <c r="B14" s="22" t="inlineStr">
        <is>
          <t>TBD</t>
        </is>
      </c>
      <c r="C14" s="22" t="n">
        <v>10</v>
      </c>
      <c r="D14" s="22" t="inlineStr">
        <is>
          <t>TBD</t>
        </is>
      </c>
      <c r="E14" s="22" t="n">
        <v>80</v>
      </c>
      <c r="F14" s="22" t="n">
        <v>8</v>
      </c>
      <c r="G14" s="22" t="inlineStr">
        <is>
          <t>TBD</t>
        </is>
      </c>
      <c r="H14" s="22" t="n">
        <v>108</v>
      </c>
      <c r="I14" s="22" t="n">
        <v>128</v>
      </c>
      <c r="J14" s="22" t="n">
        <v>128</v>
      </c>
      <c r="K14" s="22">
        <f>#REF!/2</f>
        <v/>
      </c>
      <c r="L14" s="22" t="n">
        <v>144</v>
      </c>
      <c r="M14" s="22" t="n">
        <v>16</v>
      </c>
      <c r="N14" s="22" t="n">
        <v>128</v>
      </c>
      <c r="O14" s="22" t="n">
        <v>128</v>
      </c>
      <c r="P14" s="22" t="inlineStr">
        <is>
          <t>TBD</t>
        </is>
      </c>
      <c r="Q14" s="22" t="n">
        <v>144</v>
      </c>
      <c r="R14" s="22" t="n">
        <v>216</v>
      </c>
      <c r="S14" s="30" t="n">
        <v>1024</v>
      </c>
      <c r="T14" s="21">
        <f>R14/Q14</f>
        <v/>
      </c>
    </row>
    <row r="15">
      <c r="A15" s="31" t="inlineStr">
        <is>
          <t>int8 向量算力(TOPS)</t>
        </is>
      </c>
      <c r="B15" s="32" t="inlineStr">
        <is>
          <t>无</t>
        </is>
      </c>
      <c r="C15" s="22">
        <f>C16*2</f>
        <v/>
      </c>
      <c r="D15" s="32" t="inlineStr">
        <is>
          <t>无</t>
        </is>
      </c>
      <c r="E15" s="32" t="inlineStr">
        <is>
          <t>无</t>
        </is>
      </c>
      <c r="F15" s="22">
        <f>F16*2</f>
        <v/>
      </c>
      <c r="G15" s="32" t="inlineStr">
        <is>
          <t>无</t>
        </is>
      </c>
      <c r="H15" s="32" t="inlineStr">
        <is>
          <t>无</t>
        </is>
      </c>
      <c r="I15" s="22" t="inlineStr">
        <is>
          <t>无</t>
        </is>
      </c>
      <c r="J15" s="22" t="inlineStr">
        <is>
          <t>无</t>
        </is>
      </c>
      <c r="K15" s="22" t="n">
        <v>120</v>
      </c>
      <c r="L15" s="22" t="n">
        <v>160</v>
      </c>
      <c r="M15" s="22">
        <f>M16*2</f>
        <v/>
      </c>
      <c r="N15" s="22" t="inlineStr">
        <is>
          <t>无</t>
        </is>
      </c>
      <c r="O15" s="22" t="inlineStr">
        <is>
          <t>无</t>
        </is>
      </c>
      <c r="P15" s="22" t="inlineStr">
        <is>
          <t>无</t>
        </is>
      </c>
      <c r="Q15" s="22" t="n">
        <v>160</v>
      </c>
      <c r="R15" s="22" t="n">
        <v>267</v>
      </c>
      <c r="S15" s="30">
        <f>S16</f>
        <v/>
      </c>
      <c r="T15" s="21">
        <f>R15/Q15</f>
        <v/>
      </c>
    </row>
    <row r="16">
      <c r="A16" s="31" t="inlineStr">
        <is>
          <t>int16 向量算力(TOPS)</t>
        </is>
      </c>
      <c r="B16" s="32" t="inlineStr">
        <is>
          <t>无</t>
        </is>
      </c>
      <c r="C16" s="22">
        <f>C17*2</f>
        <v/>
      </c>
      <c r="D16" s="32" t="inlineStr">
        <is>
          <t>无</t>
        </is>
      </c>
      <c r="E16" s="32" t="inlineStr">
        <is>
          <t>无</t>
        </is>
      </c>
      <c r="F16" s="22">
        <f>F17*2</f>
        <v/>
      </c>
      <c r="G16" s="32" t="inlineStr">
        <is>
          <t>无</t>
        </is>
      </c>
      <c r="H16" s="32" t="inlineStr">
        <is>
          <t>无</t>
        </is>
      </c>
      <c r="I16" s="22" t="inlineStr">
        <is>
          <t>无</t>
        </is>
      </c>
      <c r="J16" s="22" t="inlineStr">
        <is>
          <t>无</t>
        </is>
      </c>
      <c r="K16" s="22" t="n">
        <v>120</v>
      </c>
      <c r="L16" s="22" t="n">
        <v>160</v>
      </c>
      <c r="M16" s="22">
        <f>M17*2</f>
        <v/>
      </c>
      <c r="N16" s="22" t="inlineStr">
        <is>
          <t>无</t>
        </is>
      </c>
      <c r="O16" s="22" t="inlineStr">
        <is>
          <t>无</t>
        </is>
      </c>
      <c r="P16" s="22" t="inlineStr">
        <is>
          <t>无</t>
        </is>
      </c>
      <c r="Q16" s="22" t="n">
        <v>160</v>
      </c>
      <c r="R16" s="22">
        <f>R15</f>
        <v/>
      </c>
      <c r="S16" s="30">
        <f>S19</f>
        <v/>
      </c>
      <c r="T16" s="21">
        <f>R16/Q16</f>
        <v/>
      </c>
    </row>
    <row r="17">
      <c r="A17" s="31" t="inlineStr">
        <is>
          <t>int32 向量算力(TOPS)</t>
        </is>
      </c>
      <c r="B17" s="22" t="inlineStr">
        <is>
          <t>TBD</t>
        </is>
      </c>
      <c r="C17" s="22">
        <f>8*8*2*C4*C14*4/1024</f>
        <v/>
      </c>
      <c r="D17" s="22" t="n">
        <v>10.3</v>
      </c>
      <c r="E17" s="22" t="n">
        <v>15.7</v>
      </c>
      <c r="F17" s="22">
        <f>8*8*F4*F14*4/1000</f>
        <v/>
      </c>
      <c r="G17" s="22" t="inlineStr">
        <is>
          <t>TBD</t>
        </is>
      </c>
      <c r="H17" s="22" t="n">
        <v>19.5</v>
      </c>
      <c r="I17" s="22" t="n">
        <v>30</v>
      </c>
      <c r="J17" s="22" t="n">
        <v>30</v>
      </c>
      <c r="K17" s="22" t="n">
        <v>40</v>
      </c>
      <c r="L17" s="22" t="n">
        <v>80</v>
      </c>
      <c r="M17" s="22">
        <f>512/4*2*M4*M14*4/1000</f>
        <v/>
      </c>
      <c r="N17" s="22" t="n">
        <v>30</v>
      </c>
      <c r="O17" s="22">
        <f>O20/2</f>
        <v/>
      </c>
      <c r="P17" s="22">
        <f>P20/2</f>
        <v/>
      </c>
      <c r="Q17" s="22" t="n">
        <v>80</v>
      </c>
      <c r="R17" s="22">
        <f>R16/2</f>
        <v/>
      </c>
      <c r="S17" s="30">
        <f>S20</f>
        <v/>
      </c>
      <c r="T17" s="21">
        <f>R17/Q17</f>
        <v/>
      </c>
    </row>
    <row r="18">
      <c r="A18" s="27" t="inlineStr">
        <is>
          <t>fp16 向量算力(TFLOPS)</t>
        </is>
      </c>
      <c r="B18" s="22" t="inlineStr">
        <is>
          <t>TBD</t>
        </is>
      </c>
      <c r="C18" s="22">
        <f>(8*16*2+128)*C4*C14*4/1024</f>
        <v/>
      </c>
      <c r="D18" s="22" t="n">
        <v>41.2</v>
      </c>
      <c r="E18" s="22" t="n">
        <v>31.4</v>
      </c>
      <c r="F18" s="22">
        <f>(8*16+128)*F4*F14*4/1000</f>
        <v/>
      </c>
      <c r="G18" s="22" t="inlineStr">
        <is>
          <t>TBD</t>
        </is>
      </c>
      <c r="H18" s="22" t="n">
        <v>78</v>
      </c>
      <c r="I18" s="22">
        <f>I20*2</f>
        <v/>
      </c>
      <c r="J18" s="22">
        <f>J20*2</f>
        <v/>
      </c>
      <c r="K18" s="22" t="n">
        <v>120</v>
      </c>
      <c r="L18" s="22" t="n">
        <v>160</v>
      </c>
      <c r="M18" s="22">
        <f>512/2*2*M4*M14*4/1000</f>
        <v/>
      </c>
      <c r="N18" s="22">
        <f>N20*2</f>
        <v/>
      </c>
      <c r="O18" s="22">
        <f>O20*2</f>
        <v/>
      </c>
      <c r="P18" s="22">
        <f>P20*2</f>
        <v/>
      </c>
      <c r="Q18" s="22" t="n">
        <v>160</v>
      </c>
      <c r="R18" s="22">
        <f>R16</f>
        <v/>
      </c>
      <c r="S18" s="30">
        <f>S19</f>
        <v/>
      </c>
      <c r="T18" s="21">
        <f>R18/Q18</f>
        <v/>
      </c>
    </row>
    <row r="19">
      <c r="A19" s="27" t="inlineStr">
        <is>
          <t>bf16 向量算力(TFLOPS)</t>
        </is>
      </c>
      <c r="B19" s="22" t="inlineStr">
        <is>
          <t>TBD</t>
        </is>
      </c>
      <c r="C19" s="32" t="inlineStr">
        <is>
          <t>无</t>
        </is>
      </c>
      <c r="D19" s="22" t="n">
        <v>20.6</v>
      </c>
      <c r="E19" s="32" t="inlineStr">
        <is>
          <t>无</t>
        </is>
      </c>
      <c r="F19" s="32" t="inlineStr">
        <is>
          <t>无</t>
        </is>
      </c>
      <c r="G19" s="22" t="inlineStr">
        <is>
          <t>TBD</t>
        </is>
      </c>
      <c r="H19" s="22" t="n">
        <v>39</v>
      </c>
      <c r="I19" s="22">
        <f>I20*2</f>
        <v/>
      </c>
      <c r="J19" s="22">
        <f>J20*2</f>
        <v/>
      </c>
      <c r="K19" s="22" t="n">
        <v>120</v>
      </c>
      <c r="L19" s="22" t="n">
        <v>160</v>
      </c>
      <c r="M19" s="22">
        <f>M18</f>
        <v/>
      </c>
      <c r="N19" s="22">
        <f>N20*2</f>
        <v/>
      </c>
      <c r="O19" s="22">
        <f>O20*2</f>
        <v/>
      </c>
      <c r="P19" s="22">
        <f>P20*2</f>
        <v/>
      </c>
      <c r="Q19" s="22" t="n">
        <v>160</v>
      </c>
      <c r="R19" s="22">
        <f>R18</f>
        <v/>
      </c>
      <c r="S19" s="30">
        <f>S20*2</f>
        <v/>
      </c>
      <c r="T19" s="21">
        <f>R19/Q19</f>
        <v/>
      </c>
    </row>
    <row r="20">
      <c r="A20" s="27" t="inlineStr">
        <is>
          <t>fp32 向量算力(TFLOPS)</t>
        </is>
      </c>
      <c r="B20" s="22" t="inlineStr">
        <is>
          <t>TBD</t>
        </is>
      </c>
      <c r="C20" s="22">
        <f>C18/2</f>
        <v/>
      </c>
      <c r="D20" s="22" t="n">
        <v>10.3</v>
      </c>
      <c r="E20" s="22" t="n">
        <v>15.7</v>
      </c>
      <c r="F20" s="22">
        <f>F18/2</f>
        <v/>
      </c>
      <c r="G20" s="22" t="n">
        <v>31.2</v>
      </c>
      <c r="H20" s="22" t="n">
        <v>19.5</v>
      </c>
      <c r="I20" s="22" t="n">
        <v>45</v>
      </c>
      <c r="J20" s="22" t="n">
        <v>60</v>
      </c>
      <c r="K20" s="22" t="n">
        <v>60</v>
      </c>
      <c r="L20" s="22" t="n">
        <v>80</v>
      </c>
      <c r="M20" s="22">
        <f>M18/2</f>
        <v/>
      </c>
      <c r="N20" s="22" t="n">
        <v>60</v>
      </c>
      <c r="O20" s="22" t="n">
        <v>40</v>
      </c>
      <c r="P20" s="22" t="n">
        <v>60</v>
      </c>
      <c r="Q20" s="22" t="n">
        <v>80</v>
      </c>
      <c r="R20" s="22">
        <f>Q20</f>
        <v/>
      </c>
      <c r="S20" s="30">
        <f>16384*S4*2/1000</f>
        <v/>
      </c>
      <c r="T20" s="21">
        <f>R20/Q20</f>
        <v/>
      </c>
    </row>
    <row r="21">
      <c r="A21" s="27" t="inlineStr">
        <is>
          <t>fp64 向量算力(TFLOPS)</t>
        </is>
      </c>
      <c r="B21" s="22" t="inlineStr">
        <is>
          <t>TBD</t>
        </is>
      </c>
      <c r="C21" s="32" t="inlineStr">
        <is>
          <t>无</t>
        </is>
      </c>
      <c r="D21" s="22" t="n">
        <v>5.2</v>
      </c>
      <c r="E21" s="22" t="n">
        <v>7.8</v>
      </c>
      <c r="F21" s="32" t="inlineStr">
        <is>
          <t>无</t>
        </is>
      </c>
      <c r="G21" s="22" t="inlineStr">
        <is>
          <t>TBD</t>
        </is>
      </c>
      <c r="H21" s="22" t="n">
        <v>9.699999999999999</v>
      </c>
      <c r="I21" s="22">
        <f>I20/2</f>
        <v/>
      </c>
      <c r="J21" s="22">
        <f>J20/2</f>
        <v/>
      </c>
      <c r="K21" s="22" t="n">
        <v>30</v>
      </c>
      <c r="L21" s="22" t="n">
        <v>40</v>
      </c>
      <c r="M21" s="32" t="inlineStr">
        <is>
          <t>无</t>
        </is>
      </c>
      <c r="N21" s="22" t="n">
        <v>1</v>
      </c>
      <c r="O21" s="22" t="n">
        <v>1</v>
      </c>
      <c r="P21" s="22" t="inlineStr">
        <is>
          <t>无</t>
        </is>
      </c>
      <c r="Q21" s="22" t="n">
        <v>40</v>
      </c>
      <c r="R21" s="22">
        <f>Q21</f>
        <v/>
      </c>
      <c r="S21" s="30">
        <f>S20/2</f>
        <v/>
      </c>
      <c r="T21" s="21">
        <f>R21/Q21</f>
        <v/>
      </c>
    </row>
    <row r="22">
      <c r="A22" s="27" t="inlineStr">
        <is>
          <t>int4 张量算力(TOPs)</t>
        </is>
      </c>
      <c r="B22" s="22" t="inlineStr">
        <is>
          <t>TBD</t>
        </is>
      </c>
      <c r="C22" s="22">
        <f>C23*2</f>
        <v/>
      </c>
      <c r="D22" s="22" t="n">
        <v>661</v>
      </c>
      <c r="E22" s="32" t="inlineStr">
        <is>
          <t>无</t>
        </is>
      </c>
      <c r="F22" s="22">
        <f>F23*2</f>
        <v/>
      </c>
      <c r="G22" s="22" t="n">
        <v>500</v>
      </c>
      <c r="H22" s="22" t="n">
        <v>1248</v>
      </c>
      <c r="I22" s="22" t="inlineStr">
        <is>
          <t>无</t>
        </is>
      </c>
      <c r="J22" s="22" t="inlineStr">
        <is>
          <t>无</t>
        </is>
      </c>
      <c r="K22" s="22" t="inlineStr">
        <is>
          <t>无</t>
        </is>
      </c>
      <c r="L22" s="22" t="inlineStr">
        <is>
          <t>无</t>
        </is>
      </c>
      <c r="M22" s="22" t="inlineStr">
        <is>
          <t>无</t>
        </is>
      </c>
      <c r="N22" s="22" t="inlineStr">
        <is>
          <t>无</t>
        </is>
      </c>
      <c r="O22" s="22" t="inlineStr">
        <is>
          <t>无</t>
        </is>
      </c>
      <c r="P22" s="22" t="inlineStr">
        <is>
          <t>无</t>
        </is>
      </c>
      <c r="Q22" s="22" t="inlineStr">
        <is>
          <t>无</t>
        </is>
      </c>
      <c r="R22" s="22">
        <f>Q22</f>
        <v/>
      </c>
      <c r="S22" s="30" t="inlineStr">
        <is>
          <t>TBD</t>
        </is>
      </c>
      <c r="T22" s="21">
        <f>R22/Q22</f>
        <v/>
      </c>
    </row>
    <row r="23">
      <c r="A23" s="27" t="inlineStr">
        <is>
          <t>int8 张量算力(TOPs)</t>
        </is>
      </c>
      <c r="B23" s="22" t="n">
        <v>320</v>
      </c>
      <c r="C23" s="22">
        <f>64*64*2*C14*4*C4/1000</f>
        <v/>
      </c>
      <c r="D23" s="22" t="n">
        <v>330</v>
      </c>
      <c r="E23" s="32" t="inlineStr">
        <is>
          <t>无</t>
        </is>
      </c>
      <c r="F23" s="22">
        <f>64*64*2*32*1/1000</f>
        <v/>
      </c>
      <c r="G23" s="22" t="n">
        <v>250</v>
      </c>
      <c r="H23" s="22" t="n">
        <v>624</v>
      </c>
      <c r="I23" s="22" t="n">
        <v>1500</v>
      </c>
      <c r="J23" s="22" t="n">
        <v>2000</v>
      </c>
      <c r="K23" s="22" t="n">
        <v>3500</v>
      </c>
      <c r="L23" s="22" t="n">
        <v>4500</v>
      </c>
      <c r="M23" s="22">
        <f>256*64*2*M14*4*M4/1000</f>
        <v/>
      </c>
      <c r="N23" s="22">
        <f>3958/2</f>
        <v/>
      </c>
      <c r="O23" s="22">
        <f>296</f>
        <v/>
      </c>
      <c r="P23" s="22" t="n">
        <v>239</v>
      </c>
      <c r="Q23" s="22" t="n">
        <v>4500</v>
      </c>
      <c r="R23" s="22">
        <f>Q23</f>
        <v/>
      </c>
      <c r="S23" s="30" t="inlineStr">
        <is>
          <t>TBD</t>
        </is>
      </c>
      <c r="T23" s="21" t="inlineStr">
        <is>
          <t>未公开</t>
        </is>
      </c>
      <c r="U23" t="n">
        <v>1979</v>
      </c>
      <c r="V23" t="inlineStr">
        <is>
          <t>未公开</t>
        </is>
      </c>
      <c r="W23" t="n">
        <v>393</v>
      </c>
      <c r="Y23" t="n">
        <v>1836</v>
      </c>
      <c r="AE23" s="38" t="n">
        <v>560</v>
      </c>
      <c r="AF23" t="inlineStr">
        <is>
          <t>未公开</t>
        </is>
      </c>
      <c r="AG23" t="inlineStr">
        <is>
          <t>未公开</t>
        </is>
      </c>
      <c r="AH23" t="inlineStr">
        <is>
          <t>未公开</t>
        </is>
      </c>
      <c r="AI23" t="inlineStr">
        <is>
          <t>未公开</t>
        </is>
      </c>
      <c r="AJ23" t="inlineStr">
        <is>
          <t>未公开</t>
        </is>
      </c>
      <c r="AK23" t="n">
        <v>512</v>
      </c>
      <c r="AL23" s="38" t="n">
        <v>2800</v>
      </c>
      <c r="AM23" s="38" t="n">
        <v>820</v>
      </c>
      <c r="AO23" t="n">
        <v>102.4</v>
      </c>
      <c r="AP23" t="n">
        <v>354</v>
      </c>
    </row>
    <row r="24">
      <c r="A24" s="27" t="inlineStr">
        <is>
          <t>int16 张量算力(TOPs)</t>
        </is>
      </c>
      <c r="B24" s="32" t="inlineStr">
        <is>
          <t>无</t>
        </is>
      </c>
      <c r="C24" s="22">
        <f>C23/2</f>
        <v/>
      </c>
      <c r="D24" s="32" t="inlineStr">
        <is>
          <t>无</t>
        </is>
      </c>
      <c r="E24" s="32" t="inlineStr">
        <is>
          <t>无</t>
        </is>
      </c>
      <c r="F24" s="22">
        <f>F23/2</f>
        <v/>
      </c>
      <c r="G24" s="32" t="inlineStr">
        <is>
          <t>无</t>
        </is>
      </c>
      <c r="H24" s="32" t="inlineStr">
        <is>
          <t>无</t>
        </is>
      </c>
      <c r="I24" s="22" t="inlineStr">
        <is>
          <t>无</t>
        </is>
      </c>
      <c r="J24" s="22" t="inlineStr">
        <is>
          <t>无</t>
        </is>
      </c>
      <c r="K24" s="22" t="inlineStr">
        <is>
          <t>无</t>
        </is>
      </c>
      <c r="L24" s="22" t="inlineStr">
        <is>
          <t>无</t>
        </is>
      </c>
      <c r="M24" s="22" t="inlineStr">
        <is>
          <t>无</t>
        </is>
      </c>
      <c r="N24" s="22" t="inlineStr">
        <is>
          <t>无</t>
        </is>
      </c>
      <c r="O24" s="22" t="inlineStr">
        <is>
          <t>无</t>
        </is>
      </c>
      <c r="P24" s="22">
        <f>P23/2</f>
        <v/>
      </c>
      <c r="Q24" s="22" t="inlineStr">
        <is>
          <t>无</t>
        </is>
      </c>
      <c r="R24" s="22">
        <f>Q24</f>
        <v/>
      </c>
      <c r="S24" s="30" t="inlineStr">
        <is>
          <t>TBD</t>
        </is>
      </c>
      <c r="T24" s="21">
        <f>R24/Q24</f>
        <v/>
      </c>
    </row>
    <row r="25">
      <c r="A25" s="27" t="inlineStr">
        <is>
          <t>fp4 张量算力(TFLOPS)</t>
        </is>
      </c>
      <c r="B25" s="32" t="inlineStr">
        <is>
          <t>无</t>
        </is>
      </c>
      <c r="C25" s="32" t="inlineStr">
        <is>
          <t>无</t>
        </is>
      </c>
      <c r="D25" s="32" t="inlineStr">
        <is>
          <t>无</t>
        </is>
      </c>
      <c r="E25" s="32" t="inlineStr">
        <is>
          <t>无</t>
        </is>
      </c>
      <c r="F25" s="32" t="inlineStr">
        <is>
          <t>无</t>
        </is>
      </c>
      <c r="G25" s="32" t="inlineStr">
        <is>
          <t>无</t>
        </is>
      </c>
      <c r="H25" s="32" t="inlineStr">
        <is>
          <t>无</t>
        </is>
      </c>
      <c r="I25" s="32" t="inlineStr">
        <is>
          <t>无</t>
        </is>
      </c>
      <c r="J25" s="32" t="inlineStr">
        <is>
          <t>无</t>
        </is>
      </c>
      <c r="K25" s="22" t="n">
        <v>7000</v>
      </c>
      <c r="L25" s="22" t="n">
        <v>10000</v>
      </c>
      <c r="M25" s="22">
        <f>M26*2</f>
        <v/>
      </c>
      <c r="N25" s="32" t="inlineStr">
        <is>
          <t>无</t>
        </is>
      </c>
      <c r="O25" s="32" t="inlineStr">
        <is>
          <t>无</t>
        </is>
      </c>
      <c r="P25" s="32" t="inlineStr">
        <is>
          <t>无</t>
        </is>
      </c>
      <c r="Q25" s="22" t="n">
        <v>15000</v>
      </c>
      <c r="R25" s="22" t="n">
        <v>25000</v>
      </c>
      <c r="S25" s="30" t="n">
        <v>10100</v>
      </c>
      <c r="T25" s="21" t="n">
        <v>9000</v>
      </c>
      <c r="U25" t="inlineStr">
        <is>
          <t>不支持</t>
        </is>
      </c>
      <c r="V25" t="inlineStr">
        <is>
          <t>不支持</t>
        </is>
      </c>
      <c r="W25" t="inlineStr">
        <is>
          <t>不支持</t>
        </is>
      </c>
      <c r="X25" t="inlineStr">
        <is>
          <t>不支持</t>
        </is>
      </c>
      <c r="Y25" t="inlineStr">
        <is>
          <t>不支持</t>
        </is>
      </c>
      <c r="Z25" t="inlineStr">
        <is>
          <t>不支持</t>
        </is>
      </c>
      <c r="AA25" s="38" t="n">
        <v>12600</v>
      </c>
      <c r="AB25" s="38" t="n">
        <v>10100</v>
      </c>
      <c r="AC25" t="inlineStr">
        <is>
          <t>不支持</t>
        </is>
      </c>
      <c r="AD25" t="n">
        <v>2517</v>
      </c>
      <c r="AE25" t="inlineStr">
        <is>
          <t>不支持</t>
        </is>
      </c>
      <c r="AF25" t="inlineStr">
        <is>
          <t>不支持</t>
        </is>
      </c>
      <c r="AG25" s="38" t="n">
        <v>2000</v>
      </c>
      <c r="AH25" s="38" t="n">
        <v>2007</v>
      </c>
      <c r="AI25" s="38" t="n">
        <v>4000</v>
      </c>
      <c r="AJ25" s="38" t="n">
        <v>8000</v>
      </c>
      <c r="AK25" t="inlineStr">
        <is>
          <t>不支持</t>
        </is>
      </c>
      <c r="AM25" t="inlineStr">
        <is>
          <t>不支持</t>
        </is>
      </c>
      <c r="AO25" t="inlineStr">
        <is>
          <t>不支持</t>
        </is>
      </c>
      <c r="AP25" t="inlineStr">
        <is>
          <t>不支持</t>
        </is>
      </c>
      <c r="AQ25" t="inlineStr">
        <is>
          <t>不支持</t>
        </is>
      </c>
      <c r="AS25" t="n">
        <v>21000</v>
      </c>
      <c r="AT25" t="n">
        <v>30000</v>
      </c>
    </row>
    <row r="26">
      <c r="A26" s="27" t="inlineStr">
        <is>
          <t>fp8 张量算力(TFLOPS)</t>
        </is>
      </c>
      <c r="B26" s="32" t="inlineStr">
        <is>
          <t>无</t>
        </is>
      </c>
      <c r="C26" s="32" t="inlineStr">
        <is>
          <t>无</t>
        </is>
      </c>
      <c r="D26" s="32" t="inlineStr">
        <is>
          <t>无</t>
        </is>
      </c>
      <c r="E26" s="32" t="inlineStr">
        <is>
          <t>无</t>
        </is>
      </c>
      <c r="F26" s="32" t="inlineStr">
        <is>
          <t>无</t>
        </is>
      </c>
      <c r="G26" s="32" t="inlineStr">
        <is>
          <t>无</t>
        </is>
      </c>
      <c r="H26" s="32" t="inlineStr">
        <is>
          <t>无</t>
        </is>
      </c>
      <c r="I26" s="22">
        <f>I23</f>
        <v/>
      </c>
      <c r="J26" s="22">
        <f>J23</f>
        <v/>
      </c>
      <c r="K26" s="22">
        <f>K25/2</f>
        <v/>
      </c>
      <c r="L26" s="22">
        <f>L25/2</f>
        <v/>
      </c>
      <c r="M26" s="22">
        <f>M23</f>
        <v/>
      </c>
      <c r="N26" s="22">
        <f>N23</f>
        <v/>
      </c>
      <c r="O26" s="22">
        <f>O23</f>
        <v/>
      </c>
      <c r="P26" s="22">
        <f>P23</f>
        <v/>
      </c>
      <c r="Q26" s="22">
        <f>Q25/3</f>
        <v/>
      </c>
      <c r="R26" s="22" t="n">
        <v>8333</v>
      </c>
      <c r="S26" s="30" t="n">
        <v>5000</v>
      </c>
      <c r="T26" s="21" t="n">
        <v>4500</v>
      </c>
      <c r="U26" t="n">
        <v>1979</v>
      </c>
      <c r="V26" t="n">
        <v>1835</v>
      </c>
      <c r="W26" t="inlineStr">
        <is>
          <t>不支持</t>
        </is>
      </c>
      <c r="X26" t="n">
        <v>459</v>
      </c>
      <c r="Y26" t="inlineStr">
        <is>
          <t>不支持</t>
        </is>
      </c>
      <c r="Z26" t="n">
        <v>4614</v>
      </c>
      <c r="AC26" t="n">
        <v>1299</v>
      </c>
      <c r="AD26" t="n">
        <v>2517</v>
      </c>
      <c r="AE26" t="inlineStr">
        <is>
          <t>不支持</t>
        </is>
      </c>
      <c r="AF26" t="inlineStr">
        <is>
          <t>不支持</t>
        </is>
      </c>
      <c r="AG26" s="38" t="n">
        <v>919</v>
      </c>
      <c r="AH26" s="38" t="n">
        <v>1034</v>
      </c>
      <c r="AI26" s="38" t="n">
        <v>2000</v>
      </c>
      <c r="AJ26" s="38" t="n">
        <v>2000</v>
      </c>
      <c r="AK26" t="inlineStr">
        <is>
          <t>不支持</t>
        </is>
      </c>
      <c r="AM26" t="inlineStr">
        <is>
          <t>不支持</t>
        </is>
      </c>
      <c r="AN26" s="38" t="n">
        <v>2200</v>
      </c>
      <c r="AO26" t="inlineStr">
        <is>
          <t>不支持</t>
        </is>
      </c>
      <c r="AP26" t="inlineStr">
        <is>
          <t>不支持</t>
        </is>
      </c>
      <c r="AQ26" t="n">
        <v>1120</v>
      </c>
      <c r="AR26" t="n">
        <v>6000</v>
      </c>
    </row>
    <row r="27">
      <c r="A27" s="27" t="inlineStr">
        <is>
          <t>fp16 张量算力(TFLOPS)</t>
        </is>
      </c>
      <c r="B27" s="22" t="n">
        <v>160</v>
      </c>
      <c r="C27" s="22">
        <f>C24</f>
        <v/>
      </c>
      <c r="D27" s="22" t="n">
        <v>165</v>
      </c>
      <c r="E27" s="22" t="n">
        <v>125</v>
      </c>
      <c r="F27" s="22">
        <f>F24*3/4</f>
        <v/>
      </c>
      <c r="G27" s="22" t="n">
        <v>125</v>
      </c>
      <c r="H27" s="22" t="n">
        <v>312</v>
      </c>
      <c r="I27" s="22" t="n">
        <v>750</v>
      </c>
      <c r="J27" s="22" t="n">
        <v>1000</v>
      </c>
      <c r="K27" s="22">
        <f>K26/2</f>
        <v/>
      </c>
      <c r="L27" s="22">
        <f>L26/2</f>
        <v/>
      </c>
      <c r="M27" s="22">
        <f>M23/2</f>
        <v/>
      </c>
      <c r="N27" s="22">
        <f>N26/2</f>
        <v/>
      </c>
      <c r="O27" s="22">
        <f>O26/2</f>
        <v/>
      </c>
      <c r="P27" s="22">
        <f>P26/2</f>
        <v/>
      </c>
      <c r="Q27" s="22">
        <f>Q26/2</f>
        <v/>
      </c>
      <c r="R27" s="22">
        <f>R26/2</f>
        <v/>
      </c>
      <c r="S27" s="30" t="n">
        <v>2500</v>
      </c>
      <c r="T27" s="21" t="n">
        <v>2250</v>
      </c>
      <c r="U27" t="n">
        <v>989.5</v>
      </c>
      <c r="V27" t="n">
        <v>459</v>
      </c>
      <c r="AE27" s="38" t="n">
        <v>320</v>
      </c>
      <c r="AF27" s="38" t="n">
        <v>790</v>
      </c>
      <c r="AG27" t="n">
        <v>486</v>
      </c>
      <c r="AH27" t="n">
        <v>547</v>
      </c>
      <c r="AI27" t="inlineStr">
        <is>
          <t>未公开</t>
        </is>
      </c>
      <c r="AJ27" t="inlineStr">
        <is>
          <t>未公开</t>
        </is>
      </c>
      <c r="AK27" s="38" t="n">
        <v>345</v>
      </c>
      <c r="AL27" s="38" t="n">
        <v>700</v>
      </c>
      <c r="AO27" t="n">
        <v>51.2</v>
      </c>
      <c r="AP27" t="n">
        <v>177</v>
      </c>
    </row>
    <row r="28">
      <c r="A28" s="27" t="inlineStr">
        <is>
          <t>bf16 张量算力(TFLOPS)</t>
        </is>
      </c>
      <c r="B28" s="22" t="n">
        <v>160</v>
      </c>
      <c r="C28" s="22">
        <f>C27</f>
        <v/>
      </c>
      <c r="D28" s="22" t="n">
        <v>165</v>
      </c>
      <c r="E28" s="32" t="inlineStr">
        <is>
          <t>无</t>
        </is>
      </c>
      <c r="F28" s="22">
        <f>F27</f>
        <v/>
      </c>
      <c r="G28" s="22" t="n">
        <v>125</v>
      </c>
      <c r="H28" s="22" t="n">
        <v>312</v>
      </c>
      <c r="I28" s="22">
        <f>I27</f>
        <v/>
      </c>
      <c r="J28" s="22">
        <f>J27</f>
        <v/>
      </c>
      <c r="K28" s="22">
        <f>K27</f>
        <v/>
      </c>
      <c r="L28" s="22">
        <f>L27</f>
        <v/>
      </c>
      <c r="M28" s="22">
        <f>M27</f>
        <v/>
      </c>
      <c r="N28" s="22">
        <f>N27</f>
        <v/>
      </c>
      <c r="O28" s="22">
        <f>O27</f>
        <v/>
      </c>
      <c r="P28" s="22">
        <f>P27</f>
        <v/>
      </c>
      <c r="Q28" s="22">
        <f>Q27</f>
        <v/>
      </c>
      <c r="R28" s="22">
        <f>R27</f>
        <v/>
      </c>
      <c r="S28" s="30" t="inlineStr">
        <is>
          <t>TBD</t>
        </is>
      </c>
      <c r="T28" s="21" t="n">
        <v>2250</v>
      </c>
      <c r="U28" t="n">
        <v>989.5</v>
      </c>
      <c r="V28" t="n">
        <v>1835</v>
      </c>
      <c r="W28" t="n">
        <v>197</v>
      </c>
      <c r="X28" t="n">
        <v>459</v>
      </c>
      <c r="Y28" t="n">
        <v>918</v>
      </c>
      <c r="Z28" t="n">
        <v>2307</v>
      </c>
      <c r="AC28" t="n">
        <v>667</v>
      </c>
      <c r="AD28" t="n">
        <v>671</v>
      </c>
      <c r="AE28" s="38" t="n">
        <v>320</v>
      </c>
      <c r="AF28" s="38" t="n">
        <v>790</v>
      </c>
      <c r="AG28" t="n">
        <v>486</v>
      </c>
      <c r="AH28" t="n">
        <v>547</v>
      </c>
      <c r="AI28" t="inlineStr">
        <is>
          <t>未公开</t>
        </is>
      </c>
      <c r="AJ28" t="inlineStr">
        <is>
          <t>未公开</t>
        </is>
      </c>
      <c r="AK28" s="38" t="n">
        <v>320</v>
      </c>
      <c r="AL28" s="38" t="n">
        <v>700</v>
      </c>
      <c r="AO28" t="n">
        <v>51.2</v>
      </c>
      <c r="AP28" t="n">
        <v>177</v>
      </c>
      <c r="AQ28" t="n">
        <v>560</v>
      </c>
    </row>
    <row r="29">
      <c r="A29" s="27" t="inlineStr">
        <is>
          <t>TF32 张量算力(TFLOPS)</t>
        </is>
      </c>
      <c r="B29" s="22" t="n">
        <v>160</v>
      </c>
      <c r="C29" s="22">
        <f>C28/2</f>
        <v/>
      </c>
      <c r="D29" s="22" t="n">
        <v>82</v>
      </c>
      <c r="E29" s="32" t="inlineStr">
        <is>
          <t>无</t>
        </is>
      </c>
      <c r="F29" s="32" t="inlineStr">
        <is>
          <t>无</t>
        </is>
      </c>
      <c r="G29" s="22" t="n">
        <v>62.5</v>
      </c>
      <c r="H29" s="22" t="n">
        <v>156</v>
      </c>
      <c r="I29" s="22">
        <f>I28/2</f>
        <v/>
      </c>
      <c r="J29" s="22">
        <f>J28/2</f>
        <v/>
      </c>
      <c r="K29" s="22">
        <f>K28/2</f>
        <v/>
      </c>
      <c r="L29" s="22">
        <f>L28/2</f>
        <v/>
      </c>
      <c r="M29" s="22">
        <f>M28/2</f>
        <v/>
      </c>
      <c r="N29" s="22">
        <f>N28/2</f>
        <v/>
      </c>
      <c r="O29" s="22">
        <f>O28/2</f>
        <v/>
      </c>
      <c r="P29" s="22">
        <f>P28/2</f>
        <v/>
      </c>
      <c r="Q29" s="22">
        <f>Q28/2</f>
        <v/>
      </c>
      <c r="R29" s="22">
        <f>R28/2</f>
        <v/>
      </c>
      <c r="S29" s="30" t="inlineStr">
        <is>
          <t>TBD</t>
        </is>
      </c>
      <c r="T29" s="21">
        <f>R29/Q29</f>
        <v/>
      </c>
    </row>
    <row r="30">
      <c r="A30" s="27" t="inlineStr">
        <is>
          <t>FP32 张量算力(TFLOPS)</t>
        </is>
      </c>
      <c r="B30" s="22" t="n">
        <v>40</v>
      </c>
      <c r="C30" s="22">
        <f>C29/2</f>
        <v/>
      </c>
      <c r="D30" s="32" t="inlineStr">
        <is>
          <t>无</t>
        </is>
      </c>
      <c r="E30" s="32" t="inlineStr">
        <is>
          <t>无</t>
        </is>
      </c>
      <c r="F30" s="22">
        <f>F28/4</f>
        <v/>
      </c>
      <c r="G30" s="32" t="inlineStr">
        <is>
          <t>无</t>
        </is>
      </c>
      <c r="H30" s="32" t="inlineStr">
        <is>
          <t>无</t>
        </is>
      </c>
      <c r="I30" s="22" t="inlineStr">
        <is>
          <t>无</t>
        </is>
      </c>
      <c r="J30" s="22" t="inlineStr">
        <is>
          <t>无</t>
        </is>
      </c>
      <c r="K30" s="22" t="inlineStr">
        <is>
          <t>无</t>
        </is>
      </c>
      <c r="L30" s="22" t="inlineStr">
        <is>
          <t>无</t>
        </is>
      </c>
      <c r="M30" s="22">
        <f>M29/4</f>
        <v/>
      </c>
      <c r="N30" s="22" t="inlineStr">
        <is>
          <t>无</t>
        </is>
      </c>
      <c r="O30" s="22" t="inlineStr">
        <is>
          <t>无</t>
        </is>
      </c>
      <c r="P30" s="22">
        <f>P29</f>
        <v/>
      </c>
      <c r="Q30" s="22" t="inlineStr">
        <is>
          <t>无</t>
        </is>
      </c>
      <c r="R30" s="22" t="inlineStr">
        <is>
          <t>无</t>
        </is>
      </c>
      <c r="S30" s="30" t="n">
        <v>157.3</v>
      </c>
      <c r="T30" s="21">
        <f>R30/Q30</f>
        <v/>
      </c>
    </row>
    <row r="31">
      <c r="A31" s="27" t="inlineStr">
        <is>
          <t>FP64 张量算力(TFLOPS)</t>
        </is>
      </c>
      <c r="B31" s="22" t="inlineStr">
        <is>
          <t>无</t>
        </is>
      </c>
      <c r="C31" s="32" t="inlineStr">
        <is>
          <t>无</t>
        </is>
      </c>
      <c r="D31" s="22" t="n">
        <v>10.3</v>
      </c>
      <c r="E31" s="32" t="inlineStr">
        <is>
          <t>无</t>
        </is>
      </c>
      <c r="F31" s="32" t="inlineStr">
        <is>
          <t>无</t>
        </is>
      </c>
      <c r="G31" s="22" t="n">
        <v>7.8125</v>
      </c>
      <c r="H31" s="22" t="n">
        <v>19.5</v>
      </c>
      <c r="I31" s="22" t="n">
        <v>45</v>
      </c>
      <c r="J31" s="22" t="n">
        <v>60</v>
      </c>
      <c r="K31" s="22" t="n">
        <v>30</v>
      </c>
      <c r="L31" s="22" t="n">
        <v>40</v>
      </c>
      <c r="M31" s="32" t="inlineStr">
        <is>
          <t>无</t>
        </is>
      </c>
      <c r="N31" s="22" t="n">
        <v>1</v>
      </c>
      <c r="O31" s="22" t="n">
        <v>1</v>
      </c>
      <c r="P31" s="22" t="inlineStr">
        <is>
          <t>TBD</t>
        </is>
      </c>
      <c r="Q31" s="22" t="n">
        <v>40</v>
      </c>
      <c r="R31" s="22" t="inlineStr">
        <is>
          <t>TBD</t>
        </is>
      </c>
      <c r="S31" s="30" t="n">
        <v>78.59999999999999</v>
      </c>
      <c r="T31" s="21">
        <f>R31/Q31</f>
        <v/>
      </c>
    </row>
    <row r="32">
      <c r="A32" s="27" t="inlineStr">
        <is>
          <t>TDP功耗(W)</t>
        </is>
      </c>
      <c r="B32" s="22" t="n">
        <v>300</v>
      </c>
      <c r="C32" s="22" t="n">
        <v>400</v>
      </c>
      <c r="D32" s="22" t="n">
        <v>165</v>
      </c>
      <c r="E32" s="22" t="n">
        <v>300</v>
      </c>
      <c r="F32" s="22" t="inlineStr">
        <is>
          <t>TBD</t>
        </is>
      </c>
      <c r="G32" s="22" t="n">
        <v>150</v>
      </c>
      <c r="H32" s="22" t="n">
        <v>400</v>
      </c>
      <c r="I32" s="22" t="n">
        <v>350</v>
      </c>
      <c r="J32" s="22" t="n">
        <v>700</v>
      </c>
      <c r="K32" s="22" t="n">
        <v>700</v>
      </c>
      <c r="L32" s="22" t="n">
        <v>1000</v>
      </c>
      <c r="M32" s="22" t="inlineStr">
        <is>
          <t>TBD</t>
        </is>
      </c>
      <c r="N32" s="22" t="n">
        <v>700</v>
      </c>
      <c r="O32" s="22" t="n">
        <v>400</v>
      </c>
      <c r="P32" s="22" t="n">
        <v>275</v>
      </c>
      <c r="Q32" s="22" t="n">
        <v>1000</v>
      </c>
      <c r="R32" s="22" t="inlineStr">
        <is>
          <t>TBD</t>
        </is>
      </c>
      <c r="S32" s="30" t="n"/>
      <c r="T32" s="21" t="n">
        <v>1000</v>
      </c>
      <c r="U32" t="n">
        <v>700</v>
      </c>
      <c r="V32" t="n">
        <v>900</v>
      </c>
      <c r="W32" t="inlineStr">
        <is>
          <t>未公开</t>
        </is>
      </c>
      <c r="X32" t="inlineStr">
        <is>
          <t>未公开</t>
        </is>
      </c>
      <c r="Y32" t="inlineStr">
        <is>
          <t>未公开</t>
        </is>
      </c>
      <c r="Z32" s="38" t="inlineStr">
        <is>
          <t>~850-1000(推断)</t>
        </is>
      </c>
      <c r="AA32" t="inlineStr">
        <is>
          <t>未公开</t>
        </is>
      </c>
      <c r="AB32" t="inlineStr">
        <is>
          <t>未公开</t>
        </is>
      </c>
      <c r="AC32" t="inlineStr">
        <is>
          <t>未公开</t>
        </is>
      </c>
      <c r="AD32" t="inlineStr">
        <is>
          <t>未公开</t>
        </is>
      </c>
      <c r="AE32" s="38" t="n">
        <v>310</v>
      </c>
      <c r="AF32" s="38" t="n">
        <v>330</v>
      </c>
      <c r="AG32" s="38" t="n">
        <v>600</v>
      </c>
      <c r="AH32" s="38" t="n">
        <v>500</v>
      </c>
      <c r="AI32" s="38" t="inlineStr">
        <is>
          <t>未公开(风冷可承)</t>
        </is>
      </c>
      <c r="AJ32" s="38" t="inlineStr">
        <is>
          <t>未公开(液冷)</t>
        </is>
      </c>
      <c r="AK32" s="38" t="n">
        <v>350</v>
      </c>
      <c r="AL32" t="inlineStr">
        <is>
          <t>未公开</t>
        </is>
      </c>
      <c r="AM32" t="n">
        <v>276</v>
      </c>
      <c r="AN32" t="inlineStr">
        <is>
          <t>未公开</t>
        </is>
      </c>
      <c r="AO32" t="n">
        <v>25</v>
      </c>
      <c r="AP32" t="n">
        <v>85</v>
      </c>
      <c r="AQ32" t="n">
        <v>912</v>
      </c>
      <c r="AR32" t="n">
        <v>1200</v>
      </c>
      <c r="AS32" t="inlineStr">
        <is>
          <t>未公开</t>
        </is>
      </c>
      <c r="AT32" t="inlineStr">
        <is>
          <t>未公开</t>
        </is>
      </c>
    </row>
    <row r="33">
      <c r="A33" s="27" t="inlineStr">
        <is>
          <t>纯IPU单cluster功耗(W)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30" t="n"/>
      <c r="S33" s="30" t="n"/>
    </row>
    <row r="34">
      <c r="A34" s="27" t="inlineStr">
        <is>
          <t>Link带宽</t>
        </is>
      </c>
      <c r="B34" s="22" t="inlineStr">
        <is>
          <t>TBD</t>
        </is>
      </c>
      <c r="C34" s="22" t="inlineStr">
        <is>
          <t>TBD</t>
        </is>
      </c>
      <c r="D34" s="22" t="inlineStr">
        <is>
          <t>TBD</t>
        </is>
      </c>
      <c r="E34" s="22" t="n">
        <v>150</v>
      </c>
      <c r="F34" s="22" t="inlineStr">
        <is>
          <t>TBD</t>
        </is>
      </c>
      <c r="G34" s="22" t="inlineStr">
        <is>
          <t>TBD</t>
        </is>
      </c>
      <c r="H34" s="22" t="n">
        <v>300</v>
      </c>
      <c r="I34" s="22" t="inlineStr">
        <is>
          <t>TBD</t>
        </is>
      </c>
      <c r="J34" s="22" t="n">
        <v>450</v>
      </c>
      <c r="K34" s="22" t="n">
        <v>900</v>
      </c>
      <c r="L34" s="22" t="n">
        <v>900</v>
      </c>
      <c r="M34" s="22" t="inlineStr">
        <is>
          <t>TBD</t>
        </is>
      </c>
      <c r="N34" s="22" t="n">
        <v>400</v>
      </c>
      <c r="O34" s="22" t="n">
        <v>450</v>
      </c>
      <c r="P34" s="22" t="inlineStr">
        <is>
          <t>TBD</t>
        </is>
      </c>
      <c r="Q34" s="22" t="n">
        <v>900</v>
      </c>
      <c r="R34" s="30" t="n">
        <v>1800</v>
      </c>
      <c r="S34" s="30" t="n"/>
      <c r="T34" s="21" t="n">
        <v>1800</v>
      </c>
      <c r="U34" t="n">
        <v>900</v>
      </c>
      <c r="V34" t="n">
        <v>1200</v>
      </c>
      <c r="W34" t="n">
        <v>400</v>
      </c>
      <c r="X34" t="n">
        <v>1200</v>
      </c>
      <c r="Y34" t="n">
        <v>800</v>
      </c>
      <c r="Z34" t="n">
        <v>1200</v>
      </c>
      <c r="AA34" t="n">
        <v>2400</v>
      </c>
      <c r="AB34" t="n">
        <v>50</v>
      </c>
      <c r="AC34" t="n">
        <v>1280</v>
      </c>
      <c r="AD34" t="n">
        <v>2560</v>
      </c>
      <c r="AE34" t="inlineStr">
        <is>
          <t>未公开</t>
        </is>
      </c>
      <c r="AF34" s="38" t="n">
        <v>466</v>
      </c>
      <c r="AG34" t="n">
        <v>2000</v>
      </c>
      <c r="AH34" t="n">
        <v>2000</v>
      </c>
      <c r="AI34" s="38" t="n">
        <v>2200</v>
      </c>
      <c r="AJ34" t="inlineStr">
        <is>
          <t>未披露</t>
        </is>
      </c>
      <c r="AK34" t="n">
        <v>512</v>
      </c>
      <c r="AL34" t="inlineStr">
        <is>
          <t>存疑</t>
        </is>
      </c>
      <c r="AM34" t="inlineStr">
        <is>
          <t>无专用互联</t>
        </is>
      </c>
      <c r="AN34" t="n">
        <v>1200</v>
      </c>
      <c r="AO34" t="inlineStr">
        <is>
          <t>无</t>
        </is>
      </c>
      <c r="AP34" t="inlineStr">
        <is>
          <t>无</t>
        </is>
      </c>
      <c r="AQ34" t="n">
        <v>800</v>
      </c>
    </row>
    <row r="35">
      <c r="A35" s="27" t="inlineStr">
        <is>
          <t>FP16随机数性能功耗比(Tflops/W)</t>
        </is>
      </c>
      <c r="B35" s="22" t="inlineStr">
        <is>
          <t>TBD</t>
        </is>
      </c>
      <c r="C35" s="22" t="inlineStr">
        <is>
          <t>TBD</t>
        </is>
      </c>
      <c r="D35" s="22" t="inlineStr">
        <is>
          <t>TBD</t>
        </is>
      </c>
      <c r="E35" s="22" t="inlineStr">
        <is>
          <t>TBD</t>
        </is>
      </c>
      <c r="F35" s="22" t="inlineStr">
        <is>
          <t>TBD</t>
        </is>
      </c>
      <c r="G35" s="22" t="inlineStr">
        <is>
          <t>TBD</t>
        </is>
      </c>
      <c r="H35" s="22" t="n">
        <v>0.63</v>
      </c>
      <c r="I35" s="28" t="n">
        <v>1.069287</v>
      </c>
      <c r="J35" s="22" t="n">
        <v>1.1</v>
      </c>
      <c r="K35" s="22" t="inlineStr">
        <is>
          <t>TBD</t>
        </is>
      </c>
      <c r="L35" s="22" t="inlineStr">
        <is>
          <t>TBD</t>
        </is>
      </c>
      <c r="M35" s="22" t="n">
        <v>1.5</v>
      </c>
      <c r="N35" s="22" t="n">
        <v>1.1</v>
      </c>
      <c r="O35" s="22" t="n">
        <v>1.1</v>
      </c>
      <c r="P35" s="22" t="inlineStr">
        <is>
          <t>TBD</t>
        </is>
      </c>
      <c r="Q35" s="22" t="inlineStr">
        <is>
          <t>TBD</t>
        </is>
      </c>
      <c r="R35" s="22" t="inlineStr">
        <is>
          <t>TBD</t>
        </is>
      </c>
      <c r="S35" s="30" t="n"/>
      <c r="T35" s="21">
        <f>R35/Q35</f>
        <v/>
      </c>
    </row>
    <row r="36">
      <c r="A36" s="27" t="inlineStr">
        <is>
          <t>INT8随机数性能功耗比(Tops/W)</t>
        </is>
      </c>
      <c r="B36" s="22" t="inlineStr">
        <is>
          <t>TBD</t>
        </is>
      </c>
      <c r="C36" s="22" t="inlineStr">
        <is>
          <t>TBD</t>
        </is>
      </c>
      <c r="D36" s="22" t="inlineStr">
        <is>
          <t>TBD</t>
        </is>
      </c>
      <c r="E36" s="22" t="inlineStr">
        <is>
          <t>TBD</t>
        </is>
      </c>
      <c r="F36" s="22" t="inlineStr">
        <is>
          <t>TBD</t>
        </is>
      </c>
      <c r="G36" s="22" t="inlineStr">
        <is>
          <t>TBD</t>
        </is>
      </c>
      <c r="H36" s="22" t="inlineStr">
        <is>
          <t>TBD</t>
        </is>
      </c>
      <c r="I36" s="22" t="inlineStr">
        <is>
          <t>TBD</t>
        </is>
      </c>
      <c r="J36" s="22" t="n">
        <v>1.78</v>
      </c>
      <c r="K36" s="22" t="inlineStr">
        <is>
          <t>TBD</t>
        </is>
      </c>
      <c r="L36" s="22" t="inlineStr">
        <is>
          <t>TBD</t>
        </is>
      </c>
      <c r="M36" s="22" t="inlineStr">
        <is>
          <t>TBD</t>
        </is>
      </c>
      <c r="N36" s="22" t="n">
        <v>1.78</v>
      </c>
      <c r="O36" s="22" t="n">
        <v>1.78</v>
      </c>
      <c r="P36" s="22" t="inlineStr">
        <is>
          <t>TBD</t>
        </is>
      </c>
      <c r="Q36" s="22" t="inlineStr">
        <is>
          <t>TBD</t>
        </is>
      </c>
      <c r="R36" s="22" t="inlineStr">
        <is>
          <t>TBD</t>
        </is>
      </c>
      <c r="S36" s="30" t="n"/>
      <c r="T36" s="21">
        <f>R36/Q36</f>
        <v/>
      </c>
    </row>
    <row r="37">
      <c r="A37" s="27" t="inlineStr">
        <is>
          <t>Transformer(fairseq) TF32 fps</t>
        </is>
      </c>
      <c r="B37" s="22" t="inlineStr">
        <is>
          <t>TBD</t>
        </is>
      </c>
      <c r="C37" s="22" t="inlineStr">
        <is>
          <t>TBD</t>
        </is>
      </c>
      <c r="D37" s="22" t="inlineStr">
        <is>
          <t>TBD</t>
        </is>
      </c>
      <c r="E37" s="22" t="inlineStr">
        <is>
          <t>TBD</t>
        </is>
      </c>
      <c r="F37" s="22" t="inlineStr">
        <is>
          <t>TBD</t>
        </is>
      </c>
      <c r="G37" s="22" t="inlineStr">
        <is>
          <t>TBD</t>
        </is>
      </c>
      <c r="H37" s="22" t="n">
        <v>47611</v>
      </c>
      <c r="I37" s="22" t="inlineStr">
        <is>
          <t>TBD</t>
        </is>
      </c>
      <c r="J37" s="33" t="n">
        <v>96650</v>
      </c>
      <c r="K37" s="22" t="inlineStr">
        <is>
          <t>TBD</t>
        </is>
      </c>
      <c r="L37" s="22" t="inlineStr">
        <is>
          <t>TBD</t>
        </is>
      </c>
      <c r="M37" s="22" t="inlineStr">
        <is>
          <t>TBD</t>
        </is>
      </c>
      <c r="N37" s="33" t="n">
        <v>96650</v>
      </c>
      <c r="O37" s="33" t="n">
        <v>96650</v>
      </c>
      <c r="P37" s="22" t="inlineStr">
        <is>
          <t>TBD</t>
        </is>
      </c>
      <c r="Q37" s="22" t="inlineStr">
        <is>
          <t>TBD</t>
        </is>
      </c>
      <c r="R37" s="22" t="inlineStr">
        <is>
          <t>TBD</t>
        </is>
      </c>
      <c r="S37" s="30" t="n"/>
      <c r="T37" s="21">
        <f>R37/Q37</f>
        <v/>
      </c>
    </row>
    <row r="38">
      <c r="A38" s="27" t="inlineStr">
        <is>
          <t>Transformer(fairseq) AMP fps</t>
        </is>
      </c>
      <c r="B38" s="22" t="inlineStr">
        <is>
          <t>TBD</t>
        </is>
      </c>
      <c r="C38" s="22" t="inlineStr">
        <is>
          <t>TBD</t>
        </is>
      </c>
      <c r="D38" s="22" t="inlineStr">
        <is>
          <t>TBD</t>
        </is>
      </c>
      <c r="E38" s="22" t="inlineStr">
        <is>
          <t>TBD</t>
        </is>
      </c>
      <c r="F38" s="22" t="inlineStr">
        <is>
          <t>TBD</t>
        </is>
      </c>
      <c r="G38" s="22" t="inlineStr">
        <is>
          <t>TBD</t>
        </is>
      </c>
      <c r="H38" s="22" t="n">
        <v>71835</v>
      </c>
      <c r="I38" s="22" t="inlineStr">
        <is>
          <t>TBD</t>
        </is>
      </c>
      <c r="J38" s="33" t="n">
        <v>155467</v>
      </c>
      <c r="K38" s="22" t="inlineStr">
        <is>
          <t>TBD</t>
        </is>
      </c>
      <c r="L38" s="22" t="inlineStr">
        <is>
          <t>TBD</t>
        </is>
      </c>
      <c r="M38" s="22" t="inlineStr">
        <is>
          <t>TBD</t>
        </is>
      </c>
      <c r="N38" s="33" t="n">
        <v>155467</v>
      </c>
      <c r="O38" s="33" t="n">
        <v>155467</v>
      </c>
      <c r="P38" s="22" t="inlineStr">
        <is>
          <t>TBD</t>
        </is>
      </c>
      <c r="Q38" s="22" t="inlineStr">
        <is>
          <t>TBD</t>
        </is>
      </c>
      <c r="R38" s="22" t="inlineStr">
        <is>
          <t>TBD</t>
        </is>
      </c>
      <c r="S38" s="30" t="n"/>
      <c r="T38" s="21">
        <f>R38/Q38</f>
        <v/>
      </c>
    </row>
    <row r="39">
      <c r="A39" s="27" t="inlineStr">
        <is>
          <t>FP16 Tensor/HBM Bindwith</t>
        </is>
      </c>
      <c r="B39" s="22">
        <f>B27/B7*1000</f>
        <v/>
      </c>
      <c r="C39" s="22">
        <f>C27/C7*1000</f>
        <v/>
      </c>
      <c r="D39" s="22">
        <f>D27/D7*1000</f>
        <v/>
      </c>
      <c r="E39" s="22">
        <f>E27/E7*1000</f>
        <v/>
      </c>
      <c r="F39" s="22">
        <f>F27/F7*1000</f>
        <v/>
      </c>
      <c r="G39" s="22">
        <f>G27/G7*1000</f>
        <v/>
      </c>
      <c r="H39" s="22">
        <f>H27/H7*1000</f>
        <v/>
      </c>
      <c r="I39" s="22">
        <f>I27/I7*1000</f>
        <v/>
      </c>
      <c r="J39" s="22">
        <f>J27/J7*1000</f>
        <v/>
      </c>
      <c r="K39" s="22">
        <f>K27/K7*1000</f>
        <v/>
      </c>
      <c r="L39" s="22">
        <f>L27/L7*1000</f>
        <v/>
      </c>
      <c r="M39" s="22">
        <f>M27/M7*1000</f>
        <v/>
      </c>
      <c r="N39" s="22">
        <f>N27/N7*1000</f>
        <v/>
      </c>
      <c r="O39" s="22">
        <f>O27/O7*1000</f>
        <v/>
      </c>
      <c r="P39" s="22">
        <f>P27/P7*1000</f>
        <v/>
      </c>
      <c r="Q39" s="22">
        <f>Q27/Q7*1000</f>
        <v/>
      </c>
      <c r="R39" s="22">
        <f>R27/R7*1000</f>
        <v/>
      </c>
      <c r="S39" s="30" t="n"/>
      <c r="T39" s="21">
        <f>R39/Q39</f>
        <v/>
      </c>
    </row>
    <row r="40">
      <c r="A40" s="27" t="inlineStr">
        <is>
          <t>FP4 Tensor/HBM Bindwith</t>
        </is>
      </c>
      <c r="B40" s="22">
        <f>B25/B7*1000</f>
        <v/>
      </c>
      <c r="C40" s="22">
        <f>C25/C7*1000</f>
        <v/>
      </c>
      <c r="D40" s="22">
        <f>D25/D7*1000</f>
        <v/>
      </c>
      <c r="E40" s="22">
        <f>E25/E7*1000</f>
        <v/>
      </c>
      <c r="F40" s="22">
        <f>F25/F7*1000</f>
        <v/>
      </c>
      <c r="G40" s="22">
        <f>G25/G7*1000</f>
        <v/>
      </c>
      <c r="H40" s="22">
        <f>H25/H7*1000</f>
        <v/>
      </c>
      <c r="I40" s="22">
        <f>I25/I7*1000</f>
        <v/>
      </c>
      <c r="J40" s="22">
        <f>J25/J7*1000</f>
        <v/>
      </c>
      <c r="K40" s="22">
        <f>K25/K7*1000</f>
        <v/>
      </c>
      <c r="L40" s="22">
        <f>L25/L7*1000</f>
        <v/>
      </c>
      <c r="M40" s="22">
        <f>M25/M7*1000</f>
        <v/>
      </c>
      <c r="N40" s="22">
        <f>N25/N7*1000</f>
        <v/>
      </c>
      <c r="O40" s="22">
        <f>O25/O7*1000</f>
        <v/>
      </c>
      <c r="P40" s="22">
        <f>P25/P7*1000</f>
        <v/>
      </c>
      <c r="Q40" s="22">
        <f>Q25/Q7*1000</f>
        <v/>
      </c>
      <c r="R40" s="22">
        <f>R25/R7*1000</f>
        <v/>
      </c>
      <c r="S40" s="30" t="n"/>
      <c r="T40" s="21">
        <f>R40/Q40</f>
        <v/>
      </c>
    </row>
    <row r="41">
      <c r="A41" s="27" t="inlineStr">
        <is>
          <t>FP16 Tensor/FP16 Vector</t>
        </is>
      </c>
      <c r="B41" s="22">
        <f>B27/B18</f>
        <v/>
      </c>
      <c r="C41" s="22">
        <f>C27/C18</f>
        <v/>
      </c>
      <c r="D41" s="22">
        <f>D27/D18</f>
        <v/>
      </c>
      <c r="E41" s="22">
        <f>E27/E18</f>
        <v/>
      </c>
      <c r="F41" s="22">
        <f>F27/F18</f>
        <v/>
      </c>
      <c r="G41" s="22">
        <f>G27/G18</f>
        <v/>
      </c>
      <c r="H41" s="22">
        <f>H27/H18</f>
        <v/>
      </c>
      <c r="I41" s="22">
        <f>I27/I18</f>
        <v/>
      </c>
      <c r="J41" s="22">
        <f>J27/J18</f>
        <v/>
      </c>
      <c r="K41" s="22">
        <f>K27/K18</f>
        <v/>
      </c>
      <c r="L41" s="22">
        <f>L27/L18</f>
        <v/>
      </c>
      <c r="M41" s="22">
        <f>M27/M18</f>
        <v/>
      </c>
      <c r="N41" s="22">
        <f>N27/N18</f>
        <v/>
      </c>
      <c r="O41" s="22">
        <f>O27/O18</f>
        <v/>
      </c>
      <c r="P41" s="22">
        <f>P27/P18</f>
        <v/>
      </c>
      <c r="Q41" s="22">
        <f>Q27/Q18</f>
        <v/>
      </c>
      <c r="R41" s="22">
        <f>R27/R18</f>
        <v/>
      </c>
      <c r="S41" s="30" t="n"/>
      <c r="T41" s="21">
        <f>R41/Q41</f>
        <v/>
      </c>
    </row>
    <row r="42">
      <c r="A42" s="34" t="inlineStr">
        <is>
          <t>FP4 Flops/HBM（Tflops/TBs)</t>
        </is>
      </c>
      <c r="B42" s="30">
        <f>B25/B7*1000</f>
        <v/>
      </c>
      <c r="C42" s="30">
        <f>C25/C7*1000</f>
        <v/>
      </c>
      <c r="D42" s="30">
        <f>D25/D7*1000</f>
        <v/>
      </c>
      <c r="E42" s="30">
        <f>E25/E7*1000</f>
        <v/>
      </c>
      <c r="F42" s="30">
        <f>F25/F7*1000</f>
        <v/>
      </c>
      <c r="G42" s="30">
        <f>G25/G7*1000</f>
        <v/>
      </c>
      <c r="H42" s="30">
        <f>H25/H7*1000</f>
        <v/>
      </c>
      <c r="I42" s="30">
        <f>I25/I7*1000</f>
        <v/>
      </c>
      <c r="J42" s="30">
        <f>J25/J7*1000</f>
        <v/>
      </c>
      <c r="K42" s="30">
        <f>K25/K7*1000</f>
        <v/>
      </c>
      <c r="L42" s="30">
        <f>L25/L7*1000</f>
        <v/>
      </c>
      <c r="M42" s="30">
        <f>M25/M7*1000</f>
        <v/>
      </c>
      <c r="N42" s="30">
        <f>N25/N7*1000</f>
        <v/>
      </c>
      <c r="O42" s="30">
        <f>O25/O7*1000</f>
        <v/>
      </c>
      <c r="P42" s="30">
        <f>P25/P7*1000</f>
        <v/>
      </c>
      <c r="Q42" s="30">
        <f>Q25/Q7*1000</f>
        <v/>
      </c>
      <c r="R42" s="30">
        <f>R25/R7*1000</f>
        <v/>
      </c>
      <c r="S42" s="30" t="n"/>
      <c r="T42" s="21">
        <f>R42/Q42</f>
        <v/>
      </c>
      <c r="U42" s="21">
        <f>625*1.5</f>
        <v/>
      </c>
    </row>
    <row r="43">
      <c r="A43" s="34" t="inlineStr">
        <is>
          <t>官宣时间</t>
        </is>
      </c>
      <c r="B43" s="30" t="n"/>
      <c r="C43" s="30" t="n"/>
      <c r="D43" s="30" t="n"/>
      <c r="E43" s="30" t="n"/>
      <c r="F43" s="30" t="n"/>
      <c r="G43" s="30" t="n"/>
      <c r="H43" s="30" t="n"/>
      <c r="I43" s="30" t="n"/>
      <c r="J43" s="35" t="n"/>
      <c r="K43" s="30" t="n"/>
      <c r="L43" s="30" t="n"/>
      <c r="M43" s="30" t="n"/>
      <c r="N43" s="35" t="n"/>
      <c r="O43" s="35" t="n"/>
      <c r="P43" s="35" t="n"/>
      <c r="Q43" s="30" t="n"/>
      <c r="R43" s="35" t="n"/>
      <c r="S43" s="35" t="n"/>
      <c r="T43" t="inlineStr">
        <is>
          <t>2024-03 GTC</t>
        </is>
      </c>
      <c r="U43" t="inlineStr">
        <is>
          <t>2023-11 SC23</t>
        </is>
      </c>
      <c r="V43" t="inlineStr">
        <is>
          <t>2024-04-09</t>
        </is>
      </c>
      <c r="W43" t="inlineStr">
        <is>
          <t>2023-08-29</t>
        </is>
      </c>
      <c r="X43" t="inlineStr">
        <is>
          <t>2023-12-06</t>
        </is>
      </c>
      <c r="Y43" t="inlineStr">
        <is>
          <t>2024-05-14</t>
        </is>
      </c>
      <c r="Z43" t="inlineStr">
        <is>
          <t>2025-04-09</t>
        </is>
      </c>
      <c r="AA43" t="inlineStr">
        <is>
          <t>2026-04-22</t>
        </is>
      </c>
      <c r="AB43" t="inlineStr">
        <is>
          <t>2026-04-22</t>
        </is>
      </c>
      <c r="AC43" t="inlineStr">
        <is>
          <t>2024-12-03 GA</t>
        </is>
      </c>
      <c r="AD43" t="inlineStr">
        <is>
          <t>2025-12-02 GA</t>
        </is>
      </c>
      <c r="AE43" t="inlineStr">
        <is>
          <t>2023起供货</t>
        </is>
      </c>
      <c r="AF43" t="inlineStr">
        <is>
          <t>2025随CM384亮相</t>
        </is>
      </c>
      <c r="AG43" t="inlineStr">
        <is>
          <t>2025-09-18全联接</t>
        </is>
      </c>
      <c r="AH43" t="inlineStr">
        <is>
          <t>2025-09-18全联接</t>
        </is>
      </c>
      <c r="AI43" t="inlineStr">
        <is>
          <t>2026-09-17全联接</t>
        </is>
      </c>
      <c r="AJ43" t="inlineStr">
        <is>
          <t>2026-09-17全联接</t>
        </is>
      </c>
      <c r="AK43" t="inlineStr">
        <is>
          <t>2022-09 WAIC首透露</t>
        </is>
      </c>
      <c r="AL43" t="inlineStr">
        <is>
          <t>官方未官宣</t>
        </is>
      </c>
      <c r="AM43" t="inlineStr">
        <is>
          <t>2019-09-25云栖</t>
        </is>
      </c>
      <c r="AN43" t="inlineStr">
        <is>
          <t>2026-09-22云栖</t>
        </is>
      </c>
      <c r="AO43" t="inlineStr">
        <is>
          <t>2023-05-18</t>
        </is>
      </c>
      <c r="AP43" t="inlineStr">
        <is>
          <t>2024-04-10</t>
        </is>
      </c>
      <c r="AQ43" t="inlineStr">
        <is>
          <t>ISCA2026论文(2026-06-30)</t>
        </is>
      </c>
      <c r="AR43" t="inlineStr">
        <is>
          <t>2026-03公布</t>
        </is>
      </c>
      <c r="AS43" t="inlineStr">
        <is>
          <t>2027初量产</t>
        </is>
      </c>
      <c r="AT43" t="inlineStr">
        <is>
          <t>2027底量产</t>
        </is>
      </c>
    </row>
    <row r="44">
      <c r="A44" s="34" t="inlineStr">
        <is>
          <t>量产/出货</t>
        </is>
      </c>
      <c r="B44" s="30" t="n"/>
      <c r="C44" s="30" t="n"/>
      <c r="D44" s="30" t="n"/>
      <c r="E44" s="30" t="n"/>
      <c r="F44" s="30" t="n"/>
      <c r="G44" s="30" t="n"/>
      <c r="H44" s="30" t="n"/>
      <c r="I44" s="30" t="n"/>
      <c r="J44" s="35" t="n"/>
      <c r="K44" s="30" t="n"/>
      <c r="L44" s="30" t="n"/>
      <c r="M44" s="30" t="n"/>
      <c r="N44" s="35" t="n"/>
      <c r="O44" s="35" t="n"/>
      <c r="P44" s="35" t="n"/>
      <c r="Q44" s="30" t="n"/>
      <c r="R44" s="35" t="n"/>
      <c r="S44" s="35" t="n"/>
      <c r="T44" t="inlineStr">
        <is>
          <t>2024 Q4</t>
        </is>
      </c>
      <c r="U44" t="inlineStr">
        <is>
          <t>2024 Q2</t>
        </is>
      </c>
      <c r="V44" t="inlineStr">
        <is>
          <t>2024 Q2-Q4分形态</t>
        </is>
      </c>
      <c r="W44" t="inlineStr">
        <is>
          <t>2023-11-09 GA</t>
        </is>
      </c>
      <c r="X44" t="inlineStr">
        <is>
          <t>2024-04-09 GA</t>
        </is>
      </c>
      <c r="Y44" t="inlineStr">
        <is>
          <t>2024-12-11 GA</t>
        </is>
      </c>
      <c r="Z44" t="inlineStr">
        <is>
          <t>2025-11-06 GA</t>
        </is>
      </c>
      <c r="AA44" t="inlineStr">
        <is>
          <t>2027底上市</t>
        </is>
      </c>
      <c r="AB44" t="inlineStr">
        <is>
          <t>2027底上市</t>
        </is>
      </c>
      <c r="AC44" t="inlineStr">
        <is>
          <t>2024-12 GA</t>
        </is>
      </c>
      <c r="AD44" t="inlineStr">
        <is>
          <t>2025-12-02 GA</t>
        </is>
      </c>
      <c r="AE44" t="inlineStr">
        <is>
          <t>2023起规模供货</t>
        </is>
      </c>
      <c r="AF44" t="inlineStr">
        <is>
          <t>2025 H1规模出货</t>
        </is>
      </c>
      <c r="AG44" t="inlineStr">
        <is>
          <t>2026-03-21随Atlas350</t>
        </is>
      </c>
      <c r="AH44" t="inlineStr">
        <is>
          <t>2026-08提前上线华为云</t>
        </is>
      </c>
      <c r="AI44" t="inlineStr">
        <is>
          <t>官方2027 Q1就绪</t>
        </is>
      </c>
      <c r="AJ44" t="inlineStr">
        <is>
          <t>官方2027 Q3就绪</t>
        </is>
      </c>
      <c r="AK44" t="inlineStr">
        <is>
          <t>2024量产,2025出货11.6万颗</t>
        </is>
      </c>
      <c r="AL44" t="inlineStr">
        <is>
          <t>券商口径2026初量产</t>
        </is>
      </c>
      <c r="AM44" t="inlineStr">
        <is>
          <t>2019起内部部署</t>
        </is>
      </c>
      <c r="AN44" t="inlineStr">
        <is>
          <t>官方2027 Q1量产</t>
        </is>
      </c>
      <c r="AO44" t="inlineStr">
        <is>
          <t>ISCA2023论文</t>
        </is>
      </c>
      <c r="AP44" t="inlineStr">
        <is>
          <t>ISCA2025论文,部署数十万颗</t>
        </is>
      </c>
      <c r="AQ44" t="inlineStr">
        <is>
          <t>2026</t>
        </is>
      </c>
      <c r="AR44" t="inlineStr">
        <is>
          <t>2026部署</t>
        </is>
      </c>
      <c r="AS44" t="inlineStr">
        <is>
          <t>2027初量产</t>
        </is>
      </c>
      <c r="AT44" t="inlineStr">
        <is>
          <t>2027底量产</t>
        </is>
      </c>
    </row>
    <row r="45">
      <c r="A45" s="36" t="inlineStr">
        <is>
          <t>架构</t>
        </is>
      </c>
      <c r="E45" s="37" t="n"/>
      <c r="F45" s="36" t="n"/>
      <c r="T45" t="inlineStr">
        <is>
          <t>Blackwell/GB100 双die</t>
        </is>
      </c>
      <c r="U45" t="inlineStr">
        <is>
          <t>Hopper/GH100</t>
        </is>
      </c>
      <c r="V45" t="inlineStr">
        <is>
          <t>Gaudi3 双die</t>
        </is>
      </c>
      <c r="W45" t="inlineStr">
        <is>
          <t>TPU v5e</t>
        </is>
      </c>
      <c r="X45" t="inlineStr">
        <is>
          <t>TPU v5p</t>
        </is>
      </c>
      <c r="Y45" t="inlineStr">
        <is>
          <t>Trillium</t>
        </is>
      </c>
      <c r="Z45" t="inlineStr">
        <is>
          <t>Ironwood 双die chiplet</t>
        </is>
      </c>
      <c r="AA45" t="inlineStr">
        <is>
          <t>Sunfish Broadcom合研</t>
        </is>
      </c>
      <c r="AB45" t="inlineStr">
        <is>
          <t>Zebrafish MediaTek合研</t>
        </is>
      </c>
      <c r="AC45" t="inlineStr">
        <is>
          <t>Trainium2 双chiplet</t>
        </is>
      </c>
      <c r="AD45" t="inlineStr">
        <is>
          <t>Trainium3</t>
        </is>
      </c>
      <c r="AE45" t="inlineStr">
        <is>
          <t>Ascend 910B</t>
        </is>
      </c>
      <c r="AF45" t="inlineStr">
        <is>
          <t>910C 双die</t>
        </is>
      </c>
      <c r="AG45" t="inlineStr">
        <is>
          <t>Ascend 950PR</t>
        </is>
      </c>
      <c r="AH45" t="inlineStr">
        <is>
          <t>Ascend 950DT</t>
        </is>
      </c>
      <c r="AI45" t="inlineStr">
        <is>
          <t>Ascend 960DT</t>
        </is>
      </c>
      <c r="AJ45" t="inlineStr">
        <is>
          <t>Ascend 960PR</t>
        </is>
      </c>
      <c r="AK45" t="inlineStr">
        <is>
          <t>MLU590</t>
        </is>
      </c>
      <c r="AL45" t="inlineStr">
        <is>
          <t>MLU690</t>
        </is>
      </c>
      <c r="AM45" t="inlineStr">
        <is>
          <t>含光800</t>
        </is>
      </c>
      <c r="AN45" t="inlineStr">
        <is>
          <t>真武V900</t>
        </is>
      </c>
      <c r="AO45" t="inlineStr">
        <is>
          <t>MTIA v1</t>
        </is>
      </c>
      <c r="AP45" t="inlineStr">
        <is>
          <t>MTIA v2 Artemis</t>
        </is>
      </c>
      <c r="AQ45" t="inlineStr">
        <is>
          <t>MTIA 300 双chiplet+内置NIC</t>
        </is>
      </c>
      <c r="AR45" t="inlineStr">
        <is>
          <t>MTIA 400 Iris 双chiplet</t>
        </is>
      </c>
      <c r="AS45" t="inlineStr">
        <is>
          <t>MTIA 450 Arke</t>
        </is>
      </c>
      <c r="AT45" t="inlineStr">
        <is>
          <t>MTIA 500 Astrid</t>
        </is>
      </c>
    </row>
    <row r="46">
      <c r="A46" s="36" t="inlineStr">
        <is>
          <t>晶体管数(亿)</t>
        </is>
      </c>
      <c r="E46" s="37" t="n"/>
      <c r="F46" s="36" t="n"/>
      <c r="T46" s="38" t="n">
        <v>1530</v>
      </c>
      <c r="U46" s="38" t="n">
        <v>800</v>
      </c>
      <c r="V46" t="inlineStr">
        <is>
          <t>未公开</t>
        </is>
      </c>
      <c r="W46" t="inlineStr">
        <is>
          <t>未公开</t>
        </is>
      </c>
      <c r="X46" t="inlineStr">
        <is>
          <t>未公开</t>
        </is>
      </c>
      <c r="Y46" t="inlineStr">
        <is>
          <t>未公开</t>
        </is>
      </c>
      <c r="Z46" t="inlineStr">
        <is>
          <t>未公开</t>
        </is>
      </c>
      <c r="AA46" t="inlineStr">
        <is>
          <t>未公开</t>
        </is>
      </c>
      <c r="AB46" t="inlineStr">
        <is>
          <t>未公开</t>
        </is>
      </c>
      <c r="AC46" t="inlineStr">
        <is>
          <t>未公开</t>
        </is>
      </c>
      <c r="AD46" t="inlineStr">
        <is>
          <t>未公开</t>
        </is>
      </c>
      <c r="AE46" t="inlineStr">
        <is>
          <t>未公开</t>
        </is>
      </c>
      <c r="AF46" t="inlineStr">
        <is>
          <t>未公开</t>
        </is>
      </c>
      <c r="AG46" t="inlineStr">
        <is>
          <t>未公开</t>
        </is>
      </c>
      <c r="AH46" t="inlineStr">
        <is>
          <t>未公开</t>
        </is>
      </c>
      <c r="AI46" t="inlineStr">
        <is>
          <t>未公开</t>
        </is>
      </c>
      <c r="AJ46" t="inlineStr">
        <is>
          <t>未公开</t>
        </is>
      </c>
      <c r="AK46" t="inlineStr">
        <is>
          <t>未公开</t>
        </is>
      </c>
      <c r="AL46" t="inlineStr">
        <is>
          <t>未公开</t>
        </is>
      </c>
      <c r="AM46" t="n">
        <v>170</v>
      </c>
      <c r="AN46" t="inlineStr">
        <is>
          <t>未公开</t>
        </is>
      </c>
      <c r="AO46" t="inlineStr">
        <is>
          <t>未公开</t>
        </is>
      </c>
      <c r="AP46" t="inlineStr">
        <is>
          <t>未公开</t>
        </is>
      </c>
      <c r="AQ46" t="inlineStr">
        <is>
          <t>未公开</t>
        </is>
      </c>
      <c r="AR46" t="inlineStr">
        <is>
          <t>未公开</t>
        </is>
      </c>
      <c r="AS46" t="inlineStr">
        <is>
          <t>未公开</t>
        </is>
      </c>
      <c r="AT46" t="inlineStr">
        <is>
          <t>未公开</t>
        </is>
      </c>
    </row>
    <row r="47">
      <c r="A47" s="36" t="inlineStr">
        <is>
          <t>FP6 张量算力(TFLOPS)</t>
        </is>
      </c>
      <c r="T47" t="n">
        <v>4500</v>
      </c>
      <c r="U47" t="inlineStr">
        <is>
          <t>不支持</t>
        </is>
      </c>
      <c r="V47" t="inlineStr">
        <is>
          <t>不支持</t>
        </is>
      </c>
      <c r="W47" t="inlineStr">
        <is>
          <t>不支持</t>
        </is>
      </c>
      <c r="X47" t="inlineStr">
        <is>
          <t>不支持</t>
        </is>
      </c>
      <c r="Y47" t="inlineStr">
        <is>
          <t>不支持</t>
        </is>
      </c>
      <c r="Z47" t="inlineStr">
        <is>
          <t>不支持</t>
        </is>
      </c>
      <c r="AC47" t="inlineStr">
        <is>
          <t>不支持</t>
        </is>
      </c>
      <c r="AD47" t="n">
        <v>2517</v>
      </c>
      <c r="AE47" t="inlineStr">
        <is>
          <t>不支持</t>
        </is>
      </c>
      <c r="AF47" t="inlineStr">
        <is>
          <t>不支持</t>
        </is>
      </c>
      <c r="AK47" t="inlineStr">
        <is>
          <t>不支持</t>
        </is>
      </c>
      <c r="AM47" t="inlineStr">
        <is>
          <t>不支持</t>
        </is>
      </c>
      <c r="AN47" t="inlineStr">
        <is>
          <t>原生FP4支持</t>
        </is>
      </c>
      <c r="AO47" t="inlineStr">
        <is>
          <t>不支持</t>
        </is>
      </c>
      <c r="AP47" t="inlineStr">
        <is>
          <t>不支持</t>
        </is>
      </c>
      <c r="AQ47" t="inlineStr">
        <is>
          <t>不支持</t>
        </is>
      </c>
      <c r="AR47" t="inlineStr">
        <is>
          <t>原生MX4</t>
        </is>
      </c>
      <c r="AS47" t="inlineStr">
        <is>
          <t>MX4</t>
        </is>
      </c>
      <c r="AT47" t="inlineStr">
        <is>
          <t>MX4</t>
        </is>
      </c>
    </row>
    <row r="48">
      <c r="A48" t="inlineStr">
        <is>
          <t>NVLink/片间互联类型</t>
        </is>
      </c>
      <c r="T48" t="inlineStr">
        <is>
          <t>NVLink 5</t>
        </is>
      </c>
      <c r="U48" t="inlineStr">
        <is>
          <t>NVLink 4</t>
        </is>
      </c>
      <c r="V48" t="inlineStr">
        <is>
          <t>24x200GbE RoCE片上</t>
        </is>
      </c>
      <c r="W48" t="inlineStr">
        <is>
          <t>ICI 400GB/s</t>
        </is>
      </c>
      <c r="X48" t="inlineStr">
        <is>
          <t>ICI 1.2TB/s</t>
        </is>
      </c>
      <c r="Y48" t="inlineStr">
        <is>
          <t>ICI 800GB/s</t>
        </is>
      </c>
      <c r="Z48" t="inlineStr">
        <is>
          <t>ICI 1.2TB/s</t>
        </is>
      </c>
      <c r="AA48" t="inlineStr">
        <is>
          <t>ICI 19.2Tbps</t>
        </is>
      </c>
      <c r="AB48" t="inlineStr">
        <is>
          <t>Boardfly拓扑</t>
        </is>
      </c>
      <c r="AC48" t="inlineStr">
        <is>
          <t>NeuronLink v3</t>
        </is>
      </c>
      <c r="AD48" t="inlineStr">
        <is>
          <t>NeuronLink v4+NeuronSwitch</t>
        </is>
      </c>
      <c r="AE48" t="inlineStr">
        <is>
          <t>HCCS</t>
        </is>
      </c>
      <c r="AF48" t="inlineStr">
        <is>
          <t>HCCS</t>
        </is>
      </c>
      <c r="AG48" t="inlineStr">
        <is>
          <t>HCCS 2TB/s</t>
        </is>
      </c>
      <c r="AH48" t="inlineStr">
        <is>
          <t>HCCS 2TB/s</t>
        </is>
      </c>
      <c r="AI48" t="inlineStr">
        <is>
          <t>灵衢UnifiedBus</t>
        </is>
      </c>
      <c r="AJ48" t="inlineStr">
        <is>
          <t>灵衢UnifiedBus</t>
        </is>
      </c>
      <c r="AK48" t="inlineStr">
        <is>
          <t>MLU-Link 512GB/s</t>
        </is>
      </c>
      <c r="AL48" t="inlineStr">
        <is>
          <t>MLU-Link</t>
        </is>
      </c>
      <c r="AM48" t="inlineStr">
        <is>
          <t>PCIe 4.0</t>
        </is>
      </c>
      <c r="AN48" t="inlineStr">
        <is>
          <t>1200GB/s+ICN Switch</t>
        </is>
      </c>
      <c r="AO48" t="inlineStr">
        <is>
          <t>PCIe Gen4</t>
        </is>
      </c>
      <c r="AP48" t="inlineStr">
        <is>
          <t>PCIe Gen5</t>
        </is>
      </c>
      <c r="AQ48" t="inlineStr">
        <is>
          <t>12x800G RoCE内置NIC</t>
        </is>
      </c>
    </row>
    <row r="49">
      <c r="A49" t="inlineStr">
        <is>
          <t>scale-out 网络</t>
        </is>
      </c>
      <c r="T49" t="inlineStr">
        <is>
          <t>NVLink Switch</t>
        </is>
      </c>
      <c r="U49" t="inlineStr">
        <is>
          <t>NVLink Switch</t>
        </is>
      </c>
      <c r="V49" t="inlineStr">
        <is>
          <t>标准以太网</t>
        </is>
      </c>
      <c r="W49" t="inlineStr">
        <is>
          <t>2D torus 256芯片</t>
        </is>
      </c>
      <c r="X49" t="inlineStr">
        <is>
          <t>3D torus</t>
        </is>
      </c>
      <c r="Y49" t="inlineStr">
        <is>
          <t>16x16 2D torus</t>
        </is>
      </c>
      <c r="Z49" t="inlineStr">
        <is>
          <t>3D torus+OCS光交换</t>
        </is>
      </c>
      <c r="AA49" t="inlineStr">
        <is>
          <t>3D torus+Virgo</t>
        </is>
      </c>
      <c r="AB49" t="inlineStr">
        <is>
          <t>400Gbps/芯片</t>
        </is>
      </c>
      <c r="AC49" t="inlineStr">
        <is>
          <t>EFA</t>
        </is>
      </c>
      <c r="AD49" t="inlineStr">
        <is>
          <t>EFA 28.8Tbps</t>
        </is>
      </c>
      <c r="AE49" t="inlineStr">
        <is>
          <t>未公开</t>
        </is>
      </c>
      <c r="AI49" t="inlineStr">
        <is>
          <t>NPO光引擎</t>
        </is>
      </c>
      <c r="AK49" t="inlineStr">
        <is>
          <t>16卡</t>
        </is>
      </c>
      <c r="AN49" t="inlineStr">
        <is>
          <t>单集群50万卡</t>
        </is>
      </c>
      <c r="AP49" t="inlineStr">
        <is>
          <t>72卡/机柜</t>
        </is>
      </c>
      <c r="AQ49" t="inlineStr">
        <is>
          <t>scale-out 200GB/s</t>
        </is>
      </c>
    </row>
    <row r="50">
      <c r="A50" t="inlineStr">
        <is>
          <t>整柜/超节点规模</t>
        </is>
      </c>
      <c r="T50" t="inlineStr">
        <is>
          <t>GB200 NVL72=72卡</t>
        </is>
      </c>
      <c r="U50" t="inlineStr">
        <is>
          <t>HGX 8卡</t>
        </is>
      </c>
      <c r="V50" t="inlineStr">
        <is>
          <t>8卡OAM</t>
        </is>
      </c>
      <c r="W50" t="inlineStr">
        <is>
          <t>256芯片Pod</t>
        </is>
      </c>
      <c r="X50" t="inlineStr">
        <is>
          <t>8960芯片Pod</t>
        </is>
      </c>
      <c r="Y50" t="inlineStr">
        <is>
          <t>256芯片Pod</t>
        </is>
      </c>
      <c r="Z50" t="inlineStr">
        <is>
          <t>9216芯片Pod</t>
        </is>
      </c>
      <c r="AA50" t="inlineStr">
        <is>
          <t>9600芯片Superpod</t>
        </is>
      </c>
      <c r="AB50" t="inlineStr">
        <is>
          <t>1152芯片推理Pod</t>
        </is>
      </c>
      <c r="AC50" t="inlineStr">
        <is>
          <t>UltraServer 64芯片</t>
        </is>
      </c>
      <c r="AD50" t="inlineStr">
        <is>
          <t>UltraServer 144芯片</t>
        </is>
      </c>
      <c r="AF50" t="inlineStr">
        <is>
          <t>CloudMatrix 384</t>
        </is>
      </c>
      <c r="AG50" t="inlineStr">
        <is>
          <t>Atlas 950 SuperPoD</t>
        </is>
      </c>
      <c r="AH50" t="inlineStr">
        <is>
          <t>Atlas 950 SuperPoD</t>
        </is>
      </c>
      <c r="AI50" t="inlineStr">
        <is>
          <t>960超节点4096卡</t>
        </is>
      </c>
      <c r="AJ50" t="inlineStr">
        <is>
          <t>Atlas 960超节点</t>
        </is>
      </c>
      <c r="AN50" t="inlineStr">
        <is>
          <t>千卡全带宽超节点</t>
        </is>
      </c>
      <c r="AQ50" t="inlineStr">
        <is>
          <t>16节点域</t>
        </is>
      </c>
      <c r="AR50" t="inlineStr">
        <is>
          <t>72卡机架</t>
        </is>
      </c>
    </row>
    <row r="51">
      <c r="A51" t="inlineStr">
        <is>
          <t>整机柜算力</t>
        </is>
      </c>
      <c r="T51" t="inlineStr">
        <is>
          <t>FP4稠密720P</t>
        </is>
      </c>
      <c r="W51" t="inlineStr">
        <is>
          <t>BF16 50.6P/Pod</t>
        </is>
      </c>
      <c r="X51" t="inlineStr">
        <is>
          <t>BF16 ~4.05EF/Pod</t>
        </is>
      </c>
      <c r="Y51" t="inlineStr">
        <is>
          <t>BF16 ~235P/Pod</t>
        </is>
      </c>
      <c r="Z51" t="inlineStr">
        <is>
          <t>FP8 42.5EF/Pod</t>
        </is>
      </c>
      <c r="AA51" t="inlineStr">
        <is>
          <t>FP4 ~121EF</t>
        </is>
      </c>
      <c r="AC51" t="inlineStr">
        <is>
          <t>FP8 83.2P</t>
        </is>
      </c>
      <c r="AD51" t="inlineStr">
        <is>
          <t>FP8 362P</t>
        </is>
      </c>
      <c r="AF51" t="inlineStr">
        <is>
          <t>FP16 ~300P/系统</t>
        </is>
      </c>
      <c r="AG51" t="inlineStr">
        <is>
          <t>8192卡 FP8 8EF</t>
        </is>
      </c>
      <c r="AI51" t="inlineStr">
        <is>
          <t>FP8 8EF/FP4 16EF</t>
        </is>
      </c>
    </row>
    <row r="52">
      <c r="A52" t="inlineStr">
        <is>
          <t>定位(训练/推理)</t>
        </is>
      </c>
      <c r="T52" t="inlineStr">
        <is>
          <t>训练+推理</t>
        </is>
      </c>
      <c r="U52" t="inlineStr">
        <is>
          <t>训练+推理</t>
        </is>
      </c>
      <c r="V52" t="inlineStr">
        <is>
          <t>训练+推理</t>
        </is>
      </c>
      <c r="W52" t="inlineStr">
        <is>
          <t>训练+推理(性价比)</t>
        </is>
      </c>
      <c r="X52" t="inlineStr">
        <is>
          <t>训练旗舰</t>
        </is>
      </c>
      <c r="Y52" t="inlineStr">
        <is>
          <t>训练+推理</t>
        </is>
      </c>
      <c r="Z52" t="inlineStr">
        <is>
          <t>推理向(训推均支持)</t>
        </is>
      </c>
      <c r="AA52" t="inlineStr">
        <is>
          <t>训练专用</t>
        </is>
      </c>
      <c r="AB52" t="inlineStr">
        <is>
          <t>推理专用</t>
        </is>
      </c>
      <c r="AC52" t="inlineStr">
        <is>
          <t>训练为主兼推理</t>
        </is>
      </c>
      <c r="AD52" t="inlineStr">
        <is>
          <t>训练+推理</t>
        </is>
      </c>
      <c r="AE52" t="inlineStr">
        <is>
          <t>训练+推理</t>
        </is>
      </c>
      <c r="AF52" t="inlineStr">
        <is>
          <t>训练为主</t>
        </is>
      </c>
      <c r="AG52" t="inlineStr">
        <is>
          <t>推理Prefill</t>
        </is>
      </c>
      <c r="AH52" t="inlineStr">
        <is>
          <t>推理Decode+训练</t>
        </is>
      </c>
      <c r="AI52" t="inlineStr">
        <is>
          <t>训练向</t>
        </is>
      </c>
      <c r="AJ52" t="inlineStr">
        <is>
          <t>推理向</t>
        </is>
      </c>
      <c r="AK52" t="inlineStr">
        <is>
          <t>训练为主兼顾推理</t>
        </is>
      </c>
      <c r="AL52" t="inlineStr">
        <is>
          <t>训练+推理主打MoE</t>
        </is>
      </c>
      <c r="AM52" t="inlineStr">
        <is>
          <t>云端推理(视觉/CNN)</t>
        </is>
      </c>
      <c r="AN52" t="inlineStr">
        <is>
          <t>训推一体</t>
        </is>
      </c>
      <c r="AO52" t="inlineStr">
        <is>
          <t>推理(推荐/排名)</t>
        </is>
      </c>
      <c r="AP52" t="inlineStr">
        <is>
          <t>推理(推荐/排名)</t>
        </is>
      </c>
      <c r="AQ52" t="inlineStr">
        <is>
          <t>DLRM训练兼GenAI推理</t>
        </is>
      </c>
      <c r="AR52" t="inlineStr">
        <is>
          <t>GenAI(对标GB300)</t>
        </is>
      </c>
      <c r="AS52" t="inlineStr">
        <is>
          <t>GenAI推理(MoE增强)</t>
        </is>
      </c>
      <c r="AT52" t="inlineStr">
        <is>
          <t>GenAI推理</t>
        </is>
      </c>
    </row>
    <row r="54">
      <c r="A54" t="inlineStr">
        <is>
          <t>注：TBD表示未核实数</t>
        </is>
      </c>
    </row>
    <row r="55">
      <c r="A55" t="inlineStr">
        <is>
          <t xml:space="preserve">      无表示明确无此运算类型</t>
        </is>
      </c>
    </row>
    <row r="56">
      <c r="A56" t="inlineStr">
        <is>
          <t xml:space="preserve">      红色字体表示预估数据</t>
        </is>
      </c>
    </row>
  </sheetData>
  <conditionalFormatting sqref="B8:H8 B10:H10 B11:D13 B14:B24 B25:H36 B39:J40 B42:M42 C37:D38 C43:D44 D4:H7 D14:D24 E11:H24 I18:J21 I25:J25 I34:J34 J8 J12:J18 J20:J23 J31:J33 J35:J36 K39:M39 K40:S40 N2:N21 N24 N26 N28 N30:N39 N41:N44 Q42:S42">
    <cfRule type="cellIs" priority="593" operator="equal" dxfId="1">
      <formula>"无"</formula>
    </cfRule>
    <cfRule type="cellIs" priority="594" operator="equal" dxfId="0">
      <formula>"TBD"</formula>
    </cfRule>
  </conditionalFormatting>
  <conditionalFormatting sqref="B4:B7">
    <cfRule type="cellIs" priority="591" operator="equal" dxfId="1">
      <formula>"无"</formula>
    </cfRule>
    <cfRule type="cellIs" priority="592" operator="equal" dxfId="0">
      <formula>"TBD"</formula>
    </cfRule>
  </conditionalFormatting>
  <conditionalFormatting sqref="C4:C6 C14:C24">
    <cfRule type="cellIs" priority="587" operator="equal" dxfId="1">
      <formula>"无"</formula>
    </cfRule>
    <cfRule type="cellIs" priority="588" operator="equal" dxfId="0">
      <formula>"TBD"</formula>
    </cfRule>
  </conditionalFormatting>
  <conditionalFormatting sqref="C7">
    <cfRule type="cellIs" priority="585" operator="equal" dxfId="1">
      <formula>"无"</formula>
    </cfRule>
    <cfRule type="cellIs" priority="586" operator="equal" dxfId="0">
      <formula>"TBD"</formula>
    </cfRule>
  </conditionalFormatting>
  <conditionalFormatting sqref="C2">
    <cfRule type="cellIs" priority="569" operator="equal" dxfId="1">
      <formula>"无"</formula>
    </cfRule>
    <cfRule type="cellIs" priority="570" operator="equal" dxfId="0">
      <formula>"TBD"</formula>
    </cfRule>
  </conditionalFormatting>
  <conditionalFormatting sqref="D2:H2">
    <cfRule type="cellIs" priority="573" operator="equal" dxfId="1">
      <formula>"无"</formula>
    </cfRule>
    <cfRule type="cellIs" priority="574" operator="equal" dxfId="0">
      <formula>"TBD"</formula>
    </cfRule>
  </conditionalFormatting>
  <conditionalFormatting sqref="B2">
    <cfRule type="cellIs" priority="571" operator="equal" dxfId="1">
      <formula>"无"</formula>
    </cfRule>
    <cfRule type="cellIs" priority="572" operator="equal" dxfId="0">
      <formula>"TBD"</formula>
    </cfRule>
  </conditionalFormatting>
  <conditionalFormatting sqref="J4:J6 J11 J27:J30">
    <cfRule type="cellIs" priority="533" operator="equal" dxfId="1">
      <formula>"无"</formula>
    </cfRule>
    <cfRule type="cellIs" priority="534" operator="equal" dxfId="0">
      <formula>"TBD"</formula>
    </cfRule>
  </conditionalFormatting>
  <conditionalFormatting sqref="J37:J38 J43:J44">
    <cfRule type="cellIs" priority="503" operator="equal" dxfId="1">
      <formula>"无"</formula>
    </cfRule>
    <cfRule type="cellIs" priority="504" operator="equal" dxfId="0">
      <formula>"TBD"</formula>
    </cfRule>
  </conditionalFormatting>
  <conditionalFormatting sqref="J2">
    <cfRule type="cellIs" priority="531" operator="equal" dxfId="1">
      <formula>"无"</formula>
    </cfRule>
    <cfRule type="cellIs" priority="532" operator="equal" dxfId="0">
      <formula>"TBD"</formula>
    </cfRule>
  </conditionalFormatting>
  <conditionalFormatting sqref="J24">
    <cfRule type="cellIs" priority="529" operator="equal" dxfId="1">
      <formula>"无"</formula>
    </cfRule>
    <cfRule type="cellIs" priority="530" operator="equal" dxfId="0">
      <formula>"TBD"</formula>
    </cfRule>
  </conditionalFormatting>
  <conditionalFormatting sqref="H37:H38 H43:H44">
    <cfRule type="cellIs" priority="511" operator="equal" dxfId="1">
      <formula>"无"</formula>
    </cfRule>
    <cfRule type="cellIs" priority="512" operator="equal" dxfId="0">
      <formula>"TBD"</formula>
    </cfRule>
  </conditionalFormatting>
  <conditionalFormatting sqref="B9:H9 J9">
    <cfRule type="cellIs" priority="499" operator="equal" dxfId="1">
      <formula>"无"</formula>
    </cfRule>
    <cfRule type="cellIs" priority="500" operator="equal" dxfId="0">
      <formula>"TBD"</formula>
    </cfRule>
  </conditionalFormatting>
  <conditionalFormatting sqref="E37">
    <cfRule type="cellIs" priority="495" operator="equal" dxfId="1">
      <formula>"无"</formula>
    </cfRule>
    <cfRule type="cellIs" priority="496" operator="equal" dxfId="0">
      <formula>"TBD"</formula>
    </cfRule>
  </conditionalFormatting>
  <conditionalFormatting sqref="F37">
    <cfRule type="cellIs" priority="493" operator="equal" dxfId="1">
      <formula>"无"</formula>
    </cfRule>
    <cfRule type="cellIs" priority="494" operator="equal" dxfId="0">
      <formula>"TBD"</formula>
    </cfRule>
  </conditionalFormatting>
  <conditionalFormatting sqref="G37">
    <cfRule type="cellIs" priority="491" operator="equal" dxfId="1">
      <formula>"无"</formula>
    </cfRule>
    <cfRule type="cellIs" priority="492" operator="equal" dxfId="0">
      <formula>"TBD"</formula>
    </cfRule>
  </conditionalFormatting>
  <conditionalFormatting sqref="G38 G43:G44">
    <cfRule type="cellIs" priority="489" operator="equal" dxfId="1">
      <formula>"无"</formula>
    </cfRule>
    <cfRule type="cellIs" priority="490" operator="equal" dxfId="0">
      <formula>"TBD"</formula>
    </cfRule>
  </conditionalFormatting>
  <conditionalFormatting sqref="F38 F43:F44">
    <cfRule type="cellIs" priority="487" operator="equal" dxfId="1">
      <formula>"无"</formula>
    </cfRule>
    <cfRule type="cellIs" priority="488" operator="equal" dxfId="0">
      <formula>"TBD"</formula>
    </cfRule>
  </conditionalFormatting>
  <conditionalFormatting sqref="E38 E43:E44">
    <cfRule type="cellIs" priority="485" operator="equal" dxfId="1">
      <formula>"无"</formula>
    </cfRule>
    <cfRule type="cellIs" priority="486" operator="equal" dxfId="0">
      <formula>"TBD"</formula>
    </cfRule>
  </conditionalFormatting>
  <conditionalFormatting sqref="B37">
    <cfRule type="cellIs" priority="483" operator="equal" dxfId="1">
      <formula>"无"</formula>
    </cfRule>
    <cfRule type="cellIs" priority="484" operator="equal" dxfId="0">
      <formula>"TBD"</formula>
    </cfRule>
  </conditionalFormatting>
  <conditionalFormatting sqref="B38 B43:B44">
    <cfRule type="cellIs" priority="481" operator="equal" dxfId="1">
      <formula>"无"</formula>
    </cfRule>
    <cfRule type="cellIs" priority="482" operator="equal" dxfId="0">
      <formula>"TBD"</formula>
    </cfRule>
  </conditionalFormatting>
  <conditionalFormatting sqref="J26">
    <cfRule type="cellIs" priority="475" operator="equal" dxfId="1">
      <formula>"无"</formula>
    </cfRule>
    <cfRule type="cellIs" priority="476" operator="equal" dxfId="0">
      <formula>"TBD"</formula>
    </cfRule>
  </conditionalFormatting>
  <conditionalFormatting sqref="J10">
    <cfRule type="cellIs" priority="471" operator="equal" dxfId="1">
      <formula>"无"</formula>
    </cfRule>
    <cfRule type="cellIs" priority="472" operator="equal" dxfId="0">
      <formula>"TBD"</formula>
    </cfRule>
  </conditionalFormatting>
  <conditionalFormatting sqref="J7">
    <cfRule type="cellIs" priority="469" operator="equal" dxfId="1">
      <formula>"无"</formula>
    </cfRule>
    <cfRule type="cellIs" priority="470" operator="equal" dxfId="0">
      <formula>"TBD"</formula>
    </cfRule>
  </conditionalFormatting>
  <conditionalFormatting sqref="I8 I12:I23 I31:I33 I35:I36">
    <cfRule type="cellIs" priority="467" operator="equal" dxfId="1">
      <formula>"无"</formula>
    </cfRule>
    <cfRule type="cellIs" priority="468" operator="equal" dxfId="0">
      <formula>"TBD"</formula>
    </cfRule>
  </conditionalFormatting>
  <conditionalFormatting sqref="I4:I6 I11 I27:I30">
    <cfRule type="cellIs" priority="465" operator="equal" dxfId="1">
      <formula>"无"</formula>
    </cfRule>
    <cfRule type="cellIs" priority="466" operator="equal" dxfId="0">
      <formula>"TBD"</formula>
    </cfRule>
  </conditionalFormatting>
  <conditionalFormatting sqref="I2">
    <cfRule type="cellIs" priority="463" operator="equal" dxfId="1">
      <formula>"无"</formula>
    </cfRule>
    <cfRule type="cellIs" priority="464" operator="equal" dxfId="0">
      <formula>"TBD"</formula>
    </cfRule>
  </conditionalFormatting>
  <conditionalFormatting sqref="I24">
    <cfRule type="cellIs" priority="461" operator="equal" dxfId="1">
      <formula>"无"</formula>
    </cfRule>
    <cfRule type="cellIs" priority="462" operator="equal" dxfId="0">
      <formula>"TBD"</formula>
    </cfRule>
  </conditionalFormatting>
  <conditionalFormatting sqref="I9">
    <cfRule type="cellIs" priority="457" operator="equal" dxfId="1">
      <formula>"无"</formula>
    </cfRule>
    <cfRule type="cellIs" priority="458" operator="equal" dxfId="0">
      <formula>"TBD"</formula>
    </cfRule>
  </conditionalFormatting>
  <conditionalFormatting sqref="I26">
    <cfRule type="cellIs" priority="455" operator="equal" dxfId="1">
      <formula>"无"</formula>
    </cfRule>
    <cfRule type="cellIs" priority="456" operator="equal" dxfId="0">
      <formula>"TBD"</formula>
    </cfRule>
  </conditionalFormatting>
  <conditionalFormatting sqref="I10">
    <cfRule type="cellIs" priority="453" operator="equal" dxfId="1">
      <formula>"无"</formula>
    </cfRule>
    <cfRule type="cellIs" priority="454" operator="equal" dxfId="0">
      <formula>"TBD"</formula>
    </cfRule>
  </conditionalFormatting>
  <conditionalFormatting sqref="I7">
    <cfRule type="cellIs" priority="451" operator="equal" dxfId="1">
      <formula>"无"</formula>
    </cfRule>
    <cfRule type="cellIs" priority="452" operator="equal" dxfId="0">
      <formula>"TBD"</formula>
    </cfRule>
  </conditionalFormatting>
  <conditionalFormatting sqref="I37">
    <cfRule type="cellIs" priority="449" operator="equal" dxfId="1">
      <formula>"无"</formula>
    </cfRule>
    <cfRule type="cellIs" priority="450" operator="equal" dxfId="0">
      <formula>"TBD"</formula>
    </cfRule>
  </conditionalFormatting>
  <conditionalFormatting sqref="I38 I43:I44">
    <cfRule type="cellIs" priority="447" operator="equal" dxfId="1">
      <formula>"无"</formula>
    </cfRule>
    <cfRule type="cellIs" priority="448" operator="equal" dxfId="0">
      <formula>"TBD"</formula>
    </cfRule>
  </conditionalFormatting>
  <conditionalFormatting sqref="B3:J3">
    <cfRule type="cellIs" priority="419" operator="equal" dxfId="1">
      <formula>"无"</formula>
    </cfRule>
    <cfRule type="cellIs" priority="420" operator="equal" dxfId="0">
      <formula>"TBD"</formula>
    </cfRule>
  </conditionalFormatting>
  <conditionalFormatting sqref="K8:K9 K11:K18 K20:K21 K23 K25 K27:K29 K32:K34">
    <cfRule type="cellIs" priority="417" operator="equal" dxfId="1">
      <formula>"无"</formula>
    </cfRule>
    <cfRule type="cellIs" priority="418" operator="equal" dxfId="0">
      <formula>"TBD"</formula>
    </cfRule>
  </conditionalFormatting>
  <conditionalFormatting sqref="K4:K6">
    <cfRule type="cellIs" priority="415" operator="equal" dxfId="1">
      <formula>"无"</formula>
    </cfRule>
    <cfRule type="cellIs" priority="416" operator="equal" dxfId="0">
      <formula>"TBD"</formula>
    </cfRule>
  </conditionalFormatting>
  <conditionalFormatting sqref="K2">
    <cfRule type="cellIs" priority="413" operator="equal" dxfId="1">
      <formula>"无"</formula>
    </cfRule>
    <cfRule type="cellIs" priority="414" operator="equal" dxfId="0">
      <formula>"TBD"</formula>
    </cfRule>
  </conditionalFormatting>
  <conditionalFormatting sqref="K43:K44">
    <cfRule type="cellIs" priority="409" operator="equal" dxfId="1">
      <formula>"无"</formula>
    </cfRule>
    <cfRule type="cellIs" priority="410" operator="equal" dxfId="0">
      <formula>"TBD"</formula>
    </cfRule>
  </conditionalFormatting>
  <conditionalFormatting sqref="K26">
    <cfRule type="cellIs" priority="407" operator="equal" dxfId="1">
      <formula>"无"</formula>
    </cfRule>
    <cfRule type="cellIs" priority="408" operator="equal" dxfId="0">
      <formula>"TBD"</formula>
    </cfRule>
  </conditionalFormatting>
  <conditionalFormatting sqref="K10">
    <cfRule type="cellIs" priority="405" operator="equal" dxfId="1">
      <formula>"无"</formula>
    </cfRule>
    <cfRule type="cellIs" priority="406" operator="equal" dxfId="0">
      <formula>"TBD"</formula>
    </cfRule>
  </conditionalFormatting>
  <conditionalFormatting sqref="K3">
    <cfRule type="cellIs" priority="401" operator="equal" dxfId="1">
      <formula>"无"</formula>
    </cfRule>
    <cfRule type="cellIs" priority="402" operator="equal" dxfId="0">
      <formula>"TBD"</formula>
    </cfRule>
  </conditionalFormatting>
  <conditionalFormatting sqref="K30">
    <cfRule type="cellIs" priority="399" operator="equal" dxfId="1">
      <formula>"无"</formula>
    </cfRule>
    <cfRule type="cellIs" priority="400" operator="equal" dxfId="0">
      <formula>"TBD"</formula>
    </cfRule>
  </conditionalFormatting>
  <conditionalFormatting sqref="K31">
    <cfRule type="cellIs" priority="397" operator="equal" dxfId="1">
      <formula>"无"</formula>
    </cfRule>
    <cfRule type="cellIs" priority="398" operator="equal" dxfId="0">
      <formula>"TBD"</formula>
    </cfRule>
  </conditionalFormatting>
  <conditionalFormatting sqref="K24">
    <cfRule type="cellIs" priority="395" operator="equal" dxfId="1">
      <formula>"无"</formula>
    </cfRule>
    <cfRule type="cellIs" priority="396" operator="equal" dxfId="0">
      <formula>"TBD"</formula>
    </cfRule>
  </conditionalFormatting>
  <conditionalFormatting sqref="K22">
    <cfRule type="cellIs" priority="393" operator="equal" dxfId="1">
      <formula>"无"</formula>
    </cfRule>
    <cfRule type="cellIs" priority="394" operator="equal" dxfId="0">
      <formula>"TBD"</formula>
    </cfRule>
  </conditionalFormatting>
  <conditionalFormatting sqref="K7">
    <cfRule type="cellIs" priority="391" operator="equal" dxfId="1">
      <formula>"无"</formula>
    </cfRule>
    <cfRule type="cellIs" priority="392" operator="equal" dxfId="0">
      <formula>"TBD"</formula>
    </cfRule>
  </conditionalFormatting>
  <conditionalFormatting sqref="K35">
    <cfRule type="cellIs" priority="389" operator="equal" dxfId="1">
      <formula>"无"</formula>
    </cfRule>
    <cfRule type="cellIs" priority="390" operator="equal" dxfId="0">
      <formula>"TBD"</formula>
    </cfRule>
  </conditionalFormatting>
  <conditionalFormatting sqref="K36">
    <cfRule type="cellIs" priority="387" operator="equal" dxfId="1">
      <formula>"无"</formula>
    </cfRule>
    <cfRule type="cellIs" priority="388" operator="equal" dxfId="0">
      <formula>"TBD"</formula>
    </cfRule>
  </conditionalFormatting>
  <conditionalFormatting sqref="K37">
    <cfRule type="cellIs" priority="385" operator="equal" dxfId="1">
      <formula>"无"</formula>
    </cfRule>
    <cfRule type="cellIs" priority="386" operator="equal" dxfId="0">
      <formula>"TBD"</formula>
    </cfRule>
  </conditionalFormatting>
  <conditionalFormatting sqref="K38">
    <cfRule type="cellIs" priority="383" operator="equal" dxfId="1">
      <formula>"无"</formula>
    </cfRule>
    <cfRule type="cellIs" priority="384" operator="equal" dxfId="0">
      <formula>"TBD"</formula>
    </cfRule>
  </conditionalFormatting>
  <conditionalFormatting sqref="M34">
    <cfRule type="cellIs" priority="381" operator="equal" dxfId="1">
      <formula>"无"</formula>
    </cfRule>
    <cfRule type="cellIs" priority="382" operator="equal" dxfId="0">
      <formula>"TBD"</formula>
    </cfRule>
  </conditionalFormatting>
  <conditionalFormatting sqref="M8:M9 M11:M18 M20:M21 M23 M27:M33 M35:M36">
    <cfRule type="cellIs" priority="379" operator="equal" dxfId="1">
      <formula>"无"</formula>
    </cfRule>
    <cfRule type="cellIs" priority="380" operator="equal" dxfId="0">
      <formula>"TBD"</formula>
    </cfRule>
  </conditionalFormatting>
  <conditionalFormatting sqref="M2">
    <cfRule type="cellIs" priority="375" operator="equal" dxfId="1">
      <formula>"无"</formula>
    </cfRule>
    <cfRule type="cellIs" priority="376" operator="equal" dxfId="0">
      <formula>"TBD"</formula>
    </cfRule>
  </conditionalFormatting>
  <conditionalFormatting sqref="M4:M7">
    <cfRule type="cellIs" priority="377" operator="equal" dxfId="1">
      <formula>"无"</formula>
    </cfRule>
    <cfRule type="cellIs" priority="378" operator="equal" dxfId="0">
      <formula>"TBD"</formula>
    </cfRule>
  </conditionalFormatting>
  <conditionalFormatting sqref="M26">
    <cfRule type="cellIs" priority="373" operator="equal" dxfId="1">
      <formula>"无"</formula>
    </cfRule>
    <cfRule type="cellIs" priority="374" operator="equal" dxfId="0">
      <formula>"TBD"</formula>
    </cfRule>
  </conditionalFormatting>
  <conditionalFormatting sqref="M10">
    <cfRule type="cellIs" priority="371" operator="equal" dxfId="1">
      <formula>"无"</formula>
    </cfRule>
    <cfRule type="cellIs" priority="372" operator="equal" dxfId="0">
      <formula>"TBD"</formula>
    </cfRule>
  </conditionalFormatting>
  <conditionalFormatting sqref="M24">
    <cfRule type="cellIs" priority="369" operator="equal" dxfId="1">
      <formula>"无"</formula>
    </cfRule>
    <cfRule type="cellIs" priority="370" operator="equal" dxfId="0">
      <formula>"TBD"</formula>
    </cfRule>
  </conditionalFormatting>
  <conditionalFormatting sqref="B41:H41">
    <cfRule type="cellIs" priority="359" operator="equal" dxfId="1">
      <formula>"无"</formula>
    </cfRule>
    <cfRule type="cellIs" priority="360" operator="equal" dxfId="0">
      <formula>"TBD"</formula>
    </cfRule>
  </conditionalFormatting>
  <conditionalFormatting sqref="M37">
    <cfRule type="cellIs" priority="365" operator="equal" dxfId="1">
      <formula>"无"</formula>
    </cfRule>
    <cfRule type="cellIs" priority="366" operator="equal" dxfId="0">
      <formula>"TBD"</formula>
    </cfRule>
  </conditionalFormatting>
  <conditionalFormatting sqref="M38 M43:M44">
    <cfRule type="cellIs" priority="363" operator="equal" dxfId="1">
      <formula>"无"</formula>
    </cfRule>
    <cfRule type="cellIs" priority="364" operator="equal" dxfId="0">
      <formula>"TBD"</formula>
    </cfRule>
  </conditionalFormatting>
  <conditionalFormatting sqref="M3">
    <cfRule type="cellIs" priority="361" operator="equal" dxfId="1">
      <formula>"无"</formula>
    </cfRule>
    <cfRule type="cellIs" priority="362" operator="equal" dxfId="0">
      <formula>"TBD"</formula>
    </cfRule>
  </conditionalFormatting>
  <conditionalFormatting sqref="J41">
    <cfRule type="cellIs" priority="357" operator="equal" dxfId="1">
      <formula>"无"</formula>
    </cfRule>
    <cfRule type="cellIs" priority="358" operator="equal" dxfId="0">
      <formula>"TBD"</formula>
    </cfRule>
  </conditionalFormatting>
  <conditionalFormatting sqref="I41">
    <cfRule type="cellIs" priority="355" operator="equal" dxfId="1">
      <formula>"无"</formula>
    </cfRule>
    <cfRule type="cellIs" priority="356" operator="equal" dxfId="0">
      <formula>"TBD"</formula>
    </cfRule>
  </conditionalFormatting>
  <conditionalFormatting sqref="K41">
    <cfRule type="cellIs" priority="351" operator="equal" dxfId="1">
      <formula>"无"</formula>
    </cfRule>
    <cfRule type="cellIs" priority="352" operator="equal" dxfId="0">
      <formula>"TBD"</formula>
    </cfRule>
  </conditionalFormatting>
  <conditionalFormatting sqref="M41">
    <cfRule type="cellIs" priority="349" operator="equal" dxfId="1">
      <formula>"无"</formula>
    </cfRule>
    <cfRule type="cellIs" priority="350" operator="equal" dxfId="0">
      <formula>"TBD"</formula>
    </cfRule>
  </conditionalFormatting>
  <conditionalFormatting sqref="K19">
    <cfRule type="cellIs" priority="343" operator="equal" dxfId="1">
      <formula>"无"</formula>
    </cfRule>
    <cfRule type="cellIs" priority="344" operator="equal" dxfId="0">
      <formula>"TBD"</formula>
    </cfRule>
  </conditionalFormatting>
  <conditionalFormatting sqref="M19">
    <cfRule type="cellIs" priority="341" operator="equal" dxfId="1">
      <formula>"无"</formula>
    </cfRule>
    <cfRule type="cellIs" priority="342" operator="equal" dxfId="0">
      <formula>"TBD"</formula>
    </cfRule>
  </conditionalFormatting>
  <conditionalFormatting sqref="M25">
    <cfRule type="cellIs" priority="339" operator="equal" dxfId="1">
      <formula>"无"</formula>
    </cfRule>
    <cfRule type="cellIs" priority="340" operator="equal" dxfId="0">
      <formula>"TBD"</formula>
    </cfRule>
  </conditionalFormatting>
  <conditionalFormatting sqref="M22">
    <cfRule type="cellIs" priority="333" operator="equal" dxfId="1">
      <formula>"无"</formula>
    </cfRule>
    <cfRule type="cellIs" priority="334" operator="equal" dxfId="0">
      <formula>"TBD"</formula>
    </cfRule>
  </conditionalFormatting>
  <conditionalFormatting sqref="L8:L9 L11:L18 L20:L21 L23 L25 L27:L29 L32:L34">
    <cfRule type="cellIs" priority="331" operator="equal" dxfId="1">
      <formula>"无"</formula>
    </cfRule>
    <cfRule type="cellIs" priority="332" operator="equal" dxfId="0">
      <formula>"TBD"</formula>
    </cfRule>
  </conditionalFormatting>
  <conditionalFormatting sqref="L4:L6">
    <cfRule type="cellIs" priority="329" operator="equal" dxfId="1">
      <formula>"无"</formula>
    </cfRule>
    <cfRule type="cellIs" priority="330" operator="equal" dxfId="0">
      <formula>"TBD"</formula>
    </cfRule>
  </conditionalFormatting>
  <conditionalFormatting sqref="L2">
    <cfRule type="cellIs" priority="327" operator="equal" dxfId="1">
      <formula>"无"</formula>
    </cfRule>
    <cfRule type="cellIs" priority="328" operator="equal" dxfId="0">
      <formula>"TBD"</formula>
    </cfRule>
  </conditionalFormatting>
  <conditionalFormatting sqref="L43:L44">
    <cfRule type="cellIs" priority="323" operator="equal" dxfId="1">
      <formula>"无"</formula>
    </cfRule>
    <cfRule type="cellIs" priority="324" operator="equal" dxfId="0">
      <formula>"TBD"</formula>
    </cfRule>
  </conditionalFormatting>
  <conditionalFormatting sqref="L26">
    <cfRule type="cellIs" priority="321" operator="equal" dxfId="1">
      <formula>"无"</formula>
    </cfRule>
    <cfRule type="cellIs" priority="322" operator="equal" dxfId="0">
      <formula>"TBD"</formula>
    </cfRule>
  </conditionalFormatting>
  <conditionalFormatting sqref="L10">
    <cfRule type="cellIs" priority="319" operator="equal" dxfId="1">
      <formula>"无"</formula>
    </cfRule>
    <cfRule type="cellIs" priority="320" operator="equal" dxfId="0">
      <formula>"TBD"</formula>
    </cfRule>
  </conditionalFormatting>
  <conditionalFormatting sqref="L3">
    <cfRule type="cellIs" priority="317" operator="equal" dxfId="1">
      <formula>"无"</formula>
    </cfRule>
    <cfRule type="cellIs" priority="318" operator="equal" dxfId="0">
      <formula>"TBD"</formula>
    </cfRule>
  </conditionalFormatting>
  <conditionalFormatting sqref="L30">
    <cfRule type="cellIs" priority="315" operator="equal" dxfId="1">
      <formula>"无"</formula>
    </cfRule>
    <cfRule type="cellIs" priority="316" operator="equal" dxfId="0">
      <formula>"TBD"</formula>
    </cfRule>
  </conditionalFormatting>
  <conditionalFormatting sqref="L31">
    <cfRule type="cellIs" priority="313" operator="equal" dxfId="1">
      <formula>"无"</formula>
    </cfRule>
    <cfRule type="cellIs" priority="314" operator="equal" dxfId="0">
      <formula>"TBD"</formula>
    </cfRule>
  </conditionalFormatting>
  <conditionalFormatting sqref="L24">
    <cfRule type="cellIs" priority="311" operator="equal" dxfId="1">
      <formula>"无"</formula>
    </cfRule>
    <cfRule type="cellIs" priority="312" operator="equal" dxfId="0">
      <formula>"TBD"</formula>
    </cfRule>
  </conditionalFormatting>
  <conditionalFormatting sqref="L22">
    <cfRule type="cellIs" priority="309" operator="equal" dxfId="1">
      <formula>"无"</formula>
    </cfRule>
    <cfRule type="cellIs" priority="310" operator="equal" dxfId="0">
      <formula>"TBD"</formula>
    </cfRule>
  </conditionalFormatting>
  <conditionalFormatting sqref="L7">
    <cfRule type="cellIs" priority="307" operator="equal" dxfId="1">
      <formula>"无"</formula>
    </cfRule>
    <cfRule type="cellIs" priority="308" operator="equal" dxfId="0">
      <formula>"TBD"</formula>
    </cfRule>
  </conditionalFormatting>
  <conditionalFormatting sqref="L35">
    <cfRule type="cellIs" priority="305" operator="equal" dxfId="1">
      <formula>"无"</formula>
    </cfRule>
    <cfRule type="cellIs" priority="306" operator="equal" dxfId="0">
      <formula>"TBD"</formula>
    </cfRule>
  </conditionalFormatting>
  <conditionalFormatting sqref="L36">
    <cfRule type="cellIs" priority="303" operator="equal" dxfId="1">
      <formula>"无"</formula>
    </cfRule>
    <cfRule type="cellIs" priority="304" operator="equal" dxfId="0">
      <formula>"TBD"</formula>
    </cfRule>
  </conditionalFormatting>
  <conditionalFormatting sqref="L37">
    <cfRule type="cellIs" priority="301" operator="equal" dxfId="1">
      <formula>"无"</formula>
    </cfRule>
    <cfRule type="cellIs" priority="302" operator="equal" dxfId="0">
      <formula>"TBD"</formula>
    </cfRule>
  </conditionalFormatting>
  <conditionalFormatting sqref="L38">
    <cfRule type="cellIs" priority="299" operator="equal" dxfId="1">
      <formula>"无"</formula>
    </cfRule>
    <cfRule type="cellIs" priority="300" operator="equal" dxfId="0">
      <formula>"TBD"</formula>
    </cfRule>
  </conditionalFormatting>
  <conditionalFormatting sqref="L41">
    <cfRule type="cellIs" priority="297" operator="equal" dxfId="1">
      <formula>"无"</formula>
    </cfRule>
    <cfRule type="cellIs" priority="298" operator="equal" dxfId="0">
      <formula>"TBD"</formula>
    </cfRule>
  </conditionalFormatting>
  <conditionalFormatting sqref="L19">
    <cfRule type="cellIs" priority="295" operator="equal" dxfId="1">
      <formula>"无"</formula>
    </cfRule>
    <cfRule type="cellIs" priority="296" operator="equal" dxfId="0">
      <formula>"TBD"</formula>
    </cfRule>
  </conditionalFormatting>
  <conditionalFormatting sqref="Q39:S39">
    <cfRule type="cellIs" priority="267" operator="equal" dxfId="1">
      <formula>"无"</formula>
    </cfRule>
    <cfRule type="cellIs" priority="268" operator="equal" dxfId="0">
      <formula>"TBD"</formula>
    </cfRule>
  </conditionalFormatting>
  <conditionalFormatting sqref="Q8:Q9 Q11:Q18 Q20:Q21 Q23 Q25 Q27:Q29 Q32:Q34">
    <cfRule type="cellIs" priority="265" operator="equal" dxfId="1">
      <formula>"无"</formula>
    </cfRule>
    <cfRule type="cellIs" priority="266" operator="equal" dxfId="0">
      <formula>"TBD"</formula>
    </cfRule>
  </conditionalFormatting>
  <conditionalFormatting sqref="Q4:Q6">
    <cfRule type="cellIs" priority="263" operator="equal" dxfId="1">
      <formula>"无"</formula>
    </cfRule>
    <cfRule type="cellIs" priority="264" operator="equal" dxfId="0">
      <formula>"TBD"</formula>
    </cfRule>
  </conditionalFormatting>
  <conditionalFormatting sqref="Q2">
    <cfRule type="cellIs" priority="261" operator="equal" dxfId="1">
      <formula>"无"</formula>
    </cfRule>
    <cfRule type="cellIs" priority="262" operator="equal" dxfId="0">
      <formula>"TBD"</formula>
    </cfRule>
  </conditionalFormatting>
  <conditionalFormatting sqref="Q43:Q44">
    <cfRule type="cellIs" priority="257" operator="equal" dxfId="1">
      <formula>"无"</formula>
    </cfRule>
    <cfRule type="cellIs" priority="258" operator="equal" dxfId="0">
      <formula>"TBD"</formula>
    </cfRule>
  </conditionalFormatting>
  <conditionalFormatting sqref="Q26">
    <cfRule type="cellIs" priority="255" operator="equal" dxfId="1">
      <formula>"无"</formula>
    </cfRule>
    <cfRule type="cellIs" priority="256" operator="equal" dxfId="0">
      <formula>"TBD"</formula>
    </cfRule>
  </conditionalFormatting>
  <conditionalFormatting sqref="Q10">
    <cfRule type="cellIs" priority="253" operator="equal" dxfId="1">
      <formula>"无"</formula>
    </cfRule>
    <cfRule type="cellIs" priority="254" operator="equal" dxfId="0">
      <formula>"TBD"</formula>
    </cfRule>
  </conditionalFormatting>
  <conditionalFormatting sqref="Q3">
    <cfRule type="cellIs" priority="251" operator="equal" dxfId="1">
      <formula>"无"</formula>
    </cfRule>
    <cfRule type="cellIs" priority="252" operator="equal" dxfId="0">
      <formula>"TBD"</formula>
    </cfRule>
  </conditionalFormatting>
  <conditionalFormatting sqref="Q30">
    <cfRule type="cellIs" priority="249" operator="equal" dxfId="1">
      <formula>"无"</formula>
    </cfRule>
    <cfRule type="cellIs" priority="250" operator="equal" dxfId="0">
      <formula>"TBD"</formula>
    </cfRule>
  </conditionalFormatting>
  <conditionalFormatting sqref="Q31">
    <cfRule type="cellIs" priority="247" operator="equal" dxfId="1">
      <formula>"无"</formula>
    </cfRule>
    <cfRule type="cellIs" priority="248" operator="equal" dxfId="0">
      <formula>"TBD"</formula>
    </cfRule>
  </conditionalFormatting>
  <conditionalFormatting sqref="Q24">
    <cfRule type="cellIs" priority="245" operator="equal" dxfId="1">
      <formula>"无"</formula>
    </cfRule>
    <cfRule type="cellIs" priority="246" operator="equal" dxfId="0">
      <formula>"TBD"</formula>
    </cfRule>
  </conditionalFormatting>
  <conditionalFormatting sqref="Q22">
    <cfRule type="cellIs" priority="243" operator="equal" dxfId="1">
      <formula>"无"</formula>
    </cfRule>
    <cfRule type="cellIs" priority="244" operator="equal" dxfId="0">
      <formula>"TBD"</formula>
    </cfRule>
  </conditionalFormatting>
  <conditionalFormatting sqref="Q7">
    <cfRule type="cellIs" priority="241" operator="equal" dxfId="1">
      <formula>"无"</formula>
    </cfRule>
    <cfRule type="cellIs" priority="242" operator="equal" dxfId="0">
      <formula>"TBD"</formula>
    </cfRule>
  </conditionalFormatting>
  <conditionalFormatting sqref="Q35:S35">
    <cfRule type="cellIs" priority="239" operator="equal" dxfId="1">
      <formula>"无"</formula>
    </cfRule>
    <cfRule type="cellIs" priority="240" operator="equal" dxfId="0">
      <formula>"TBD"</formula>
    </cfRule>
  </conditionalFormatting>
  <conditionalFormatting sqref="Q36:S36">
    <cfRule type="cellIs" priority="237" operator="equal" dxfId="1">
      <formula>"无"</formula>
    </cfRule>
    <cfRule type="cellIs" priority="238" operator="equal" dxfId="0">
      <formula>"TBD"</formula>
    </cfRule>
  </conditionalFormatting>
  <conditionalFormatting sqref="Q37:S37">
    <cfRule type="cellIs" priority="235" operator="equal" dxfId="1">
      <formula>"无"</formula>
    </cfRule>
    <cfRule type="cellIs" priority="236" operator="equal" dxfId="0">
      <formula>"TBD"</formula>
    </cfRule>
  </conditionalFormatting>
  <conditionalFormatting sqref="Q38:S38">
    <cfRule type="cellIs" priority="233" operator="equal" dxfId="1">
      <formula>"无"</formula>
    </cfRule>
    <cfRule type="cellIs" priority="234" operator="equal" dxfId="0">
      <formula>"TBD"</formula>
    </cfRule>
  </conditionalFormatting>
  <conditionalFormatting sqref="Q41:S41">
    <cfRule type="cellIs" priority="231" operator="equal" dxfId="1">
      <formula>"无"</formula>
    </cfRule>
    <cfRule type="cellIs" priority="232" operator="equal" dxfId="0">
      <formula>"TBD"</formula>
    </cfRule>
  </conditionalFormatting>
  <conditionalFormatting sqref="Q19">
    <cfRule type="cellIs" priority="229" operator="equal" dxfId="1">
      <formula>"无"</formula>
    </cfRule>
    <cfRule type="cellIs" priority="230" operator="equal" dxfId="0">
      <formula>"TBD"</formula>
    </cfRule>
  </conditionalFormatting>
  <conditionalFormatting sqref="N22:N23 N27 N29">
    <cfRule type="cellIs" priority="227" operator="equal" dxfId="1">
      <formula>"无"</formula>
    </cfRule>
    <cfRule type="cellIs" priority="228" operator="equal" dxfId="0">
      <formula>"TBD"</formula>
    </cfRule>
  </conditionalFormatting>
  <conditionalFormatting sqref="N25">
    <cfRule type="cellIs" priority="211" operator="equal" dxfId="1">
      <formula>"无"</formula>
    </cfRule>
    <cfRule type="cellIs" priority="212" operator="equal" dxfId="0">
      <formula>"TBD"</formula>
    </cfRule>
  </conditionalFormatting>
  <conditionalFormatting sqref="N42">
    <cfRule type="cellIs" priority="157" operator="equal" dxfId="1">
      <formula>"无"</formula>
    </cfRule>
    <cfRule type="cellIs" priority="158" operator="equal" dxfId="0">
      <formula>"TBD"</formula>
    </cfRule>
  </conditionalFormatting>
  <conditionalFormatting sqref="N10">
    <cfRule type="cellIs" priority="153" operator="equal" dxfId="1">
      <formula>"无"</formula>
    </cfRule>
    <cfRule type="cellIs" priority="154" operator="equal" dxfId="0">
      <formula>"TBD"</formula>
    </cfRule>
  </conditionalFormatting>
  <conditionalFormatting sqref="N7">
    <cfRule type="cellIs" priority="151" operator="equal" dxfId="1">
      <formula>"无"</formula>
    </cfRule>
    <cfRule type="cellIs" priority="152" operator="equal" dxfId="0">
      <formula>"TBD"</formula>
    </cfRule>
  </conditionalFormatting>
  <conditionalFormatting sqref="N41">
    <cfRule type="cellIs" priority="145" operator="equal" dxfId="1">
      <formula>"无"</formula>
    </cfRule>
    <cfRule type="cellIs" priority="146" operator="equal" dxfId="0">
      <formula>"TBD"</formula>
    </cfRule>
  </conditionalFormatting>
  <conditionalFormatting sqref="N8 N12:N23 N25 N31:N36">
    <cfRule type="cellIs" priority="169" operator="equal" dxfId="1">
      <formula>"无"</formula>
    </cfRule>
    <cfRule type="cellIs" priority="170" operator="equal" dxfId="0">
      <formula>"TBD"</formula>
    </cfRule>
  </conditionalFormatting>
  <conditionalFormatting sqref="N4:N6 N11 N27:N30">
    <cfRule type="cellIs" priority="167" operator="equal" dxfId="1">
      <formula>"无"</formula>
    </cfRule>
    <cfRule type="cellIs" priority="168" operator="equal" dxfId="0">
      <formula>"TBD"</formula>
    </cfRule>
  </conditionalFormatting>
  <conditionalFormatting sqref="N37:N38 N43:N44">
    <cfRule type="cellIs" priority="161" operator="equal" dxfId="1">
      <formula>"无"</formula>
    </cfRule>
    <cfRule type="cellIs" priority="162" operator="equal" dxfId="0">
      <formula>"TBD"</formula>
    </cfRule>
  </conditionalFormatting>
  <conditionalFormatting sqref="N2">
    <cfRule type="cellIs" priority="165" operator="equal" dxfId="1">
      <formula>"无"</formula>
    </cfRule>
    <cfRule type="cellIs" priority="166" operator="equal" dxfId="0">
      <formula>"TBD"</formula>
    </cfRule>
  </conditionalFormatting>
  <conditionalFormatting sqref="N24">
    <cfRule type="cellIs" priority="163" operator="equal" dxfId="1">
      <formula>"无"</formula>
    </cfRule>
    <cfRule type="cellIs" priority="164" operator="equal" dxfId="0">
      <formula>"TBD"</formula>
    </cfRule>
  </conditionalFormatting>
  <conditionalFormatting sqref="N9">
    <cfRule type="cellIs" priority="159" operator="equal" dxfId="1">
      <formula>"无"</formula>
    </cfRule>
    <cfRule type="cellIs" priority="160" operator="equal" dxfId="0">
      <formula>"TBD"</formula>
    </cfRule>
  </conditionalFormatting>
  <conditionalFormatting sqref="O42:S42">
    <cfRule type="cellIs" priority="131" operator="equal" dxfId="1">
      <formula>"无"</formula>
    </cfRule>
    <cfRule type="cellIs" priority="132" operator="equal" dxfId="0">
      <formula>"TBD"</formula>
    </cfRule>
  </conditionalFormatting>
  <conditionalFormatting sqref="N26">
    <cfRule type="cellIs" priority="155" operator="equal" dxfId="1">
      <formula>"无"</formula>
    </cfRule>
    <cfRule type="cellIs" priority="156" operator="equal" dxfId="0">
      <formula>"TBD"</formula>
    </cfRule>
  </conditionalFormatting>
  <conditionalFormatting sqref="O10 Q10:S10">
    <cfRule type="cellIs" priority="127" operator="equal" dxfId="1">
      <formula>"无"</formula>
    </cfRule>
    <cfRule type="cellIs" priority="128" operator="equal" dxfId="0">
      <formula>"TBD"</formula>
    </cfRule>
  </conditionalFormatting>
  <conditionalFormatting sqref="O7:S7">
    <cfRule type="cellIs" priority="125" operator="equal" dxfId="1">
      <formula>"无"</formula>
    </cfRule>
    <cfRule type="cellIs" priority="126" operator="equal" dxfId="0">
      <formula>"TBD"</formula>
    </cfRule>
  </conditionalFormatting>
  <conditionalFormatting sqref="N3">
    <cfRule type="cellIs" priority="149" operator="equal" dxfId="1">
      <formula>"无"</formula>
    </cfRule>
    <cfRule type="cellIs" priority="150" operator="equal" dxfId="0">
      <formula>"TBD"</formula>
    </cfRule>
  </conditionalFormatting>
  <conditionalFormatting sqref="N39">
    <cfRule type="cellIs" priority="147" operator="equal" dxfId="1">
      <formula>"无"</formula>
    </cfRule>
    <cfRule type="cellIs" priority="148" operator="equal" dxfId="0">
      <formula>"TBD"</formula>
    </cfRule>
  </conditionalFormatting>
  <conditionalFormatting sqref="O41:S41">
    <cfRule type="cellIs" priority="119" operator="equal" dxfId="1">
      <formula>"无"</formula>
    </cfRule>
    <cfRule type="cellIs" priority="120" operator="equal" dxfId="0">
      <formula>"TBD"</formula>
    </cfRule>
  </conditionalFormatting>
  <conditionalFormatting sqref="O8:Q8 O12:O23 O25 O31:O36 P9:P38 Q12:Q23 Q25 Q31:Q33 Q34:S36">
    <cfRule type="cellIs" priority="143" operator="equal" dxfId="1">
      <formula>"无"</formula>
    </cfRule>
    <cfRule type="cellIs" priority="144" operator="equal" dxfId="0">
      <formula>"TBD"</formula>
    </cfRule>
  </conditionalFormatting>
  <conditionalFormatting sqref="O4:S6 O11 O27:O30 Q11 Q27:Q30">
    <cfRule type="cellIs" priority="141" operator="equal" dxfId="1">
      <formula>"无"</formula>
    </cfRule>
    <cfRule type="cellIs" priority="142" operator="equal" dxfId="0">
      <formula>"TBD"</formula>
    </cfRule>
  </conditionalFormatting>
  <conditionalFormatting sqref="O37:O38 O43:S44 Q37:S38">
    <cfRule type="cellIs" priority="135" operator="equal" dxfId="1">
      <formula>"无"</formula>
    </cfRule>
    <cfRule type="cellIs" priority="136" operator="equal" dxfId="0">
      <formula>"TBD"</formula>
    </cfRule>
  </conditionalFormatting>
  <conditionalFormatting sqref="O2:S2">
    <cfRule type="cellIs" priority="139" operator="equal" dxfId="1">
      <formula>"无"</formula>
    </cfRule>
    <cfRule type="cellIs" priority="140" operator="equal" dxfId="0">
      <formula>"TBD"</formula>
    </cfRule>
  </conditionalFormatting>
  <conditionalFormatting sqref="O24 Q24">
    <cfRule type="cellIs" priority="137" operator="equal" dxfId="1">
      <formula>"无"</formula>
    </cfRule>
    <cfRule type="cellIs" priority="138" operator="equal" dxfId="0">
      <formula>"TBD"</formula>
    </cfRule>
  </conditionalFormatting>
  <conditionalFormatting sqref="O9 Q9">
    <cfRule type="cellIs" priority="133" operator="equal" dxfId="1">
      <formula>"无"</formula>
    </cfRule>
    <cfRule type="cellIs" priority="134" operator="equal" dxfId="0">
      <formula>"TBD"</formula>
    </cfRule>
  </conditionalFormatting>
  <conditionalFormatting sqref="O26 Q26">
    <cfRule type="cellIs" priority="129" operator="equal" dxfId="1">
      <formula>"无"</formula>
    </cfRule>
    <cfRule type="cellIs" priority="130" operator="equal" dxfId="0">
      <formula>"TBD"</formula>
    </cfRule>
  </conditionalFormatting>
  <conditionalFormatting sqref="O3:S3">
    <cfRule type="cellIs" priority="123" operator="equal" dxfId="1">
      <formula>"无"</formula>
    </cfRule>
    <cfRule type="cellIs" priority="124" operator="equal" dxfId="0">
      <formula>"TBD"</formula>
    </cfRule>
  </conditionalFormatting>
  <conditionalFormatting sqref="O39:S39">
    <cfRule type="cellIs" priority="121" operator="equal" dxfId="1">
      <formula>"无"</formula>
    </cfRule>
    <cfRule type="cellIs" priority="122" operator="equal" dxfId="0">
      <formula>"TBD"</formula>
    </cfRule>
  </conditionalFormatting>
  <conditionalFormatting sqref="R3:S3">
    <cfRule type="cellIs" priority="117" operator="equal" dxfId="1">
      <formula>"无"</formula>
    </cfRule>
    <cfRule type="cellIs" priority="118" operator="equal" dxfId="0">
      <formula>"TBD"</formula>
    </cfRule>
    <cfRule type="cellIs" priority="115" operator="equal" dxfId="1">
      <formula>"无"</formula>
    </cfRule>
    <cfRule type="cellIs" priority="116" operator="equal" dxfId="0">
      <formula>"TBD"</formula>
    </cfRule>
  </conditionalFormatting>
  <conditionalFormatting sqref="R8:S9">
    <cfRule type="cellIs" priority="113" operator="equal" dxfId="1">
      <formula>"无"</formula>
    </cfRule>
    <cfRule type="cellIs" priority="114" operator="equal" dxfId="0">
      <formula>"TBD"</formula>
    </cfRule>
  </conditionalFormatting>
  <conditionalFormatting sqref="R8:S8">
    <cfRule type="cellIs" priority="111" operator="equal" dxfId="1">
      <formula>"无"</formula>
    </cfRule>
    <cfRule type="cellIs" priority="112" operator="equal" dxfId="0">
      <formula>"TBD"</formula>
    </cfRule>
  </conditionalFormatting>
  <conditionalFormatting sqref="R9:S9">
    <cfRule type="cellIs" priority="109" operator="equal" dxfId="1">
      <formula>"无"</formula>
    </cfRule>
    <cfRule type="cellIs" priority="110" operator="equal" dxfId="0">
      <formula>"TBD"</formula>
    </cfRule>
  </conditionalFormatting>
  <conditionalFormatting sqref="R11:S25 R31:S33">
    <cfRule type="cellIs" priority="107" operator="equal" dxfId="1">
      <formula>"无"</formula>
    </cfRule>
    <cfRule type="cellIs" priority="108" operator="equal" dxfId="0">
      <formula>"TBD"</formula>
    </cfRule>
  </conditionalFormatting>
  <conditionalFormatting sqref="R12:S13 R15:S25 R31:S31">
    <cfRule type="cellIs" priority="105" operator="equal" dxfId="1">
      <formula>"无"</formula>
    </cfRule>
    <cfRule type="cellIs" priority="106" operator="equal" dxfId="0">
      <formula>"TBD"</formula>
    </cfRule>
  </conditionalFormatting>
  <conditionalFormatting sqref="R11:S11 R14:S14 R17:S17 R20:S20 R23:S23 R32:S33">
    <cfRule type="cellIs" priority="103" operator="equal" dxfId="1">
      <formula>"无"</formula>
    </cfRule>
    <cfRule type="cellIs" priority="104" operator="equal" dxfId="0">
      <formula>"TBD"</formula>
    </cfRule>
  </conditionalFormatting>
  <conditionalFormatting sqref="R27:S29">
    <cfRule type="cellIs" priority="101" operator="equal" dxfId="1">
      <formula>"无"</formula>
    </cfRule>
    <cfRule type="cellIs" priority="102" operator="equal" dxfId="0">
      <formula>"TBD"</formula>
    </cfRule>
    <cfRule type="cellIs" priority="97" operator="equal" dxfId="1">
      <formula>"无"</formula>
    </cfRule>
    <cfRule type="cellIs" priority="98" operator="equal" dxfId="0">
      <formula>"TBD"</formula>
    </cfRule>
  </conditionalFormatting>
  <conditionalFormatting sqref="R26:S26">
    <cfRule type="cellIs" priority="99" operator="equal" dxfId="1">
      <formula>"无"</formula>
    </cfRule>
    <cfRule type="cellIs" priority="100" operator="equal" dxfId="0">
      <formula>"TBD"</formula>
    </cfRule>
    <cfRule type="cellIs" priority="95" operator="equal" dxfId="1">
      <formula>"无"</formula>
    </cfRule>
    <cfRule type="cellIs" priority="96" operator="equal" dxfId="0">
      <formula>"TBD"</formula>
    </cfRule>
  </conditionalFormatting>
  <conditionalFormatting sqref="R30:S30">
    <cfRule type="cellIs" priority="93" operator="equal" dxfId="1">
      <formula>"无"</formula>
    </cfRule>
    <cfRule type="cellIs" priority="94" operator="equal" dxfId="0">
      <formula>"TBD"</formula>
    </cfRule>
    <cfRule type="cellIs" priority="91" operator="equal" dxfId="1">
      <formula>"无"</formula>
    </cfRule>
    <cfRule type="cellIs" priority="92" operator="equal" dxfId="0">
      <formula>"TBD"</formula>
    </cfRule>
  </conditionalFormatting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topLeftCell="A25" workbookViewId="0">
      <selection activeCell="D38" sqref="D38"/>
    </sheetView>
  </sheetViews>
  <sheetFormatPr baseColWidth="8" defaultRowHeight="16.5"/>
  <cols>
    <col width="35.36328125" bestFit="1" customWidth="1" style="19" min="1" max="1"/>
    <col width="11" bestFit="1" customWidth="1" style="21" min="2" max="3"/>
    <col width="12.26953125" customWidth="1" style="21" min="4" max="4"/>
  </cols>
  <sheetData>
    <row r="1">
      <c r="A1" s="22" t="n"/>
      <c r="B1" s="24" t="inlineStr">
        <is>
          <t>GB200</t>
        </is>
      </c>
      <c r="C1" s="24" t="inlineStr">
        <is>
          <t>GB300</t>
        </is>
      </c>
      <c r="D1" s="25" t="inlineStr">
        <is>
          <t>R300</t>
        </is>
      </c>
    </row>
    <row r="2">
      <c r="A2" s="27" t="inlineStr">
        <is>
          <t>工艺(nm)</t>
        </is>
      </c>
      <c r="B2" s="28" t="inlineStr">
        <is>
          <t>n4p</t>
        </is>
      </c>
      <c r="C2" s="28" t="inlineStr">
        <is>
          <t>n4p</t>
        </is>
      </c>
      <c r="D2" s="29" t="inlineStr">
        <is>
          <t>n3</t>
        </is>
      </c>
    </row>
    <row r="3">
      <c r="A3" s="27" t="inlineStr">
        <is>
          <t>金属层</t>
        </is>
      </c>
      <c r="B3" s="22" t="inlineStr">
        <is>
          <t>TBD</t>
        </is>
      </c>
      <c r="C3" s="22" t="inlineStr">
        <is>
          <t>TBD</t>
        </is>
      </c>
      <c r="D3" s="22" t="inlineStr">
        <is>
          <t>TBD</t>
        </is>
      </c>
    </row>
    <row r="4">
      <c r="A4" s="27" t="inlineStr">
        <is>
          <t>时钟频率(GHz)</t>
        </is>
      </c>
      <c r="B4" s="28" t="n">
        <v>1.95</v>
      </c>
      <c r="C4" s="28" t="n">
        <v>1.95</v>
      </c>
      <c r="D4" s="29" t="n">
        <v>2.1645</v>
      </c>
    </row>
    <row r="5">
      <c r="A5" s="27" t="inlineStr">
        <is>
          <t>Memory Type</t>
        </is>
      </c>
      <c r="B5" s="28" t="inlineStr">
        <is>
          <t>HBM3e</t>
        </is>
      </c>
      <c r="C5" s="28" t="inlineStr">
        <is>
          <t>HBM3e</t>
        </is>
      </c>
      <c r="D5" s="29" t="inlineStr">
        <is>
          <t>HBM4</t>
        </is>
      </c>
    </row>
    <row r="6">
      <c r="A6" s="27" t="inlineStr">
        <is>
          <t>HBM个数</t>
        </is>
      </c>
      <c r="B6" s="28" t="n"/>
      <c r="C6" s="28" t="n">
        <v>8</v>
      </c>
      <c r="D6" s="29" t="n">
        <v>8</v>
      </c>
    </row>
    <row r="7">
      <c r="A7" s="27" t="inlineStr">
        <is>
          <t>DDR/HBM带宽(GB/s)</t>
        </is>
      </c>
      <c r="B7" s="22" t="n">
        <v>8000</v>
      </c>
      <c r="C7" s="22" t="n">
        <v>8000</v>
      </c>
      <c r="D7" s="30" t="n">
        <v>13000</v>
      </c>
    </row>
    <row r="8">
      <c r="A8" s="27" t="inlineStr">
        <is>
          <t>L2$ Read带宽(GB/s)</t>
        </is>
      </c>
      <c r="B8" s="22" t="inlineStr">
        <is>
          <t>TBD</t>
        </is>
      </c>
      <c r="C8" s="22" t="inlineStr">
        <is>
          <t>TBD</t>
        </is>
      </c>
      <c r="D8" s="22" t="inlineStr">
        <is>
          <t>TBD</t>
        </is>
      </c>
    </row>
    <row r="9">
      <c r="A9" s="27" t="inlineStr">
        <is>
          <t>L2$ Store带宽(GB/s)</t>
        </is>
      </c>
      <c r="B9" s="22" t="inlineStr">
        <is>
          <t>TBD</t>
        </is>
      </c>
      <c r="C9" s="22" t="inlineStr">
        <is>
          <t>TBD</t>
        </is>
      </c>
      <c r="D9" s="22" t="inlineStr">
        <is>
          <t>TBD</t>
        </is>
      </c>
    </row>
    <row r="10">
      <c r="A10" s="27" t="inlineStr">
        <is>
          <t>DRAM容量(GB)</t>
        </is>
      </c>
      <c r="B10" s="22" t="n">
        <v>192</v>
      </c>
      <c r="C10" s="22" t="n">
        <v>288</v>
      </c>
      <c r="D10" s="30" t="n">
        <v>533</v>
      </c>
    </row>
    <row r="11">
      <c r="A11" s="31" t="inlineStr">
        <is>
          <t>L2 cache(MB)</t>
        </is>
      </c>
      <c r="B11" s="22" t="inlineStr">
        <is>
          <t>TBD</t>
        </is>
      </c>
      <c r="C11" s="22" t="inlineStr">
        <is>
          <t>TBD</t>
        </is>
      </c>
      <c r="D11" s="22" t="inlineStr">
        <is>
          <t>TBD</t>
        </is>
      </c>
    </row>
    <row r="12">
      <c r="A12" s="31" t="inlineStr">
        <is>
          <t>Regfile(MB)</t>
        </is>
      </c>
      <c r="B12" s="22" t="inlineStr">
        <is>
          <t>TBD</t>
        </is>
      </c>
      <c r="C12" s="22" t="inlineStr">
        <is>
          <t>TBD</t>
        </is>
      </c>
      <c r="D12" s="22" t="inlineStr">
        <is>
          <t>TBD</t>
        </is>
      </c>
    </row>
    <row r="13">
      <c r="A13" s="31" t="inlineStr">
        <is>
          <t>SharedMem(MB)</t>
        </is>
      </c>
      <c r="B13" s="22" t="inlineStr">
        <is>
          <t>TBD</t>
        </is>
      </c>
      <c r="C13" s="22" t="inlineStr">
        <is>
          <t>TBD</t>
        </is>
      </c>
      <c r="D13" s="22" t="inlineStr">
        <is>
          <t>TBD</t>
        </is>
      </c>
    </row>
    <row r="14">
      <c r="A14" s="27" t="inlineStr">
        <is>
          <t>cluster数目</t>
        </is>
      </c>
      <c r="B14" s="22" t="n">
        <v>144</v>
      </c>
      <c r="C14" s="22" t="n">
        <v>144</v>
      </c>
      <c r="D14" s="22" t="n">
        <v>216</v>
      </c>
    </row>
    <row r="15">
      <c r="A15" s="31" t="inlineStr">
        <is>
          <t>int8 向量算力(TOPS)</t>
        </is>
      </c>
      <c r="B15" s="22" t="n">
        <v>160</v>
      </c>
      <c r="C15" s="22" t="n">
        <v>160</v>
      </c>
      <c r="D15" s="22" t="n">
        <v>267</v>
      </c>
    </row>
    <row r="16">
      <c r="A16" s="31" t="inlineStr">
        <is>
          <t>int16 向量算力(TOPS)</t>
        </is>
      </c>
      <c r="B16" s="22" t="n">
        <v>160</v>
      </c>
      <c r="C16" s="22" t="n">
        <v>160</v>
      </c>
      <c r="D16" s="22" t="n">
        <v>267</v>
      </c>
    </row>
    <row r="17">
      <c r="A17" s="31" t="inlineStr">
        <is>
          <t>int32 向量算力(TOPS)</t>
        </is>
      </c>
      <c r="B17" s="22" t="n">
        <v>80</v>
      </c>
      <c r="C17" s="22" t="n">
        <v>80</v>
      </c>
      <c r="D17" s="22" t="n">
        <v>133.5</v>
      </c>
    </row>
    <row r="18">
      <c r="A18" s="27" t="inlineStr">
        <is>
          <t>fp16 向量算力(TFLOPS)</t>
        </is>
      </c>
      <c r="B18" s="22" t="n">
        <v>160</v>
      </c>
      <c r="C18" s="22" t="n">
        <v>160</v>
      </c>
      <c r="D18" s="22" t="n">
        <v>267</v>
      </c>
    </row>
    <row r="19">
      <c r="A19" s="27" t="inlineStr">
        <is>
          <t>bf16 向量算力(TFLOPS)</t>
        </is>
      </c>
      <c r="B19" s="22" t="n">
        <v>160</v>
      </c>
      <c r="C19" s="22" t="n">
        <v>160</v>
      </c>
      <c r="D19" s="22" t="n">
        <v>267</v>
      </c>
    </row>
    <row r="20">
      <c r="A20" s="27" t="inlineStr">
        <is>
          <t>fp32 向量算力(TFLOPS)</t>
        </is>
      </c>
      <c r="B20" s="22" t="n">
        <v>80</v>
      </c>
      <c r="C20" s="22" t="n">
        <v>80</v>
      </c>
      <c r="D20" s="22" t="n">
        <v>80</v>
      </c>
    </row>
    <row r="21">
      <c r="A21" s="27" t="inlineStr">
        <is>
          <t>fp64 向量算力(TFLOPS)</t>
        </is>
      </c>
      <c r="B21" s="22" t="n">
        <v>40</v>
      </c>
      <c r="C21" s="22" t="n">
        <v>40</v>
      </c>
      <c r="D21" s="22" t="n">
        <v>40</v>
      </c>
    </row>
    <row r="22">
      <c r="A22" s="27" t="inlineStr">
        <is>
          <t>int4 张量算力(TOPs)</t>
        </is>
      </c>
      <c r="B22" s="22" t="inlineStr">
        <is>
          <t>无</t>
        </is>
      </c>
      <c r="C22" s="22" t="inlineStr">
        <is>
          <t>无</t>
        </is>
      </c>
      <c r="D22" s="22" t="inlineStr">
        <is>
          <t>无</t>
        </is>
      </c>
    </row>
    <row r="23">
      <c r="A23" s="27" t="inlineStr">
        <is>
          <t>int8 张量算力(TOPs)</t>
        </is>
      </c>
      <c r="B23" s="22" t="n">
        <v>4500</v>
      </c>
      <c r="C23" s="22" t="n">
        <v>4500</v>
      </c>
      <c r="D23" s="22" t="n">
        <v>4500</v>
      </c>
    </row>
    <row r="24">
      <c r="A24" s="27" t="inlineStr">
        <is>
          <t>int16 张量算力(TOPs)</t>
        </is>
      </c>
      <c r="B24" s="22" t="inlineStr">
        <is>
          <t>无</t>
        </is>
      </c>
      <c r="C24" s="22" t="inlineStr">
        <is>
          <t>无</t>
        </is>
      </c>
      <c r="D24" s="22" t="inlineStr">
        <is>
          <t>无</t>
        </is>
      </c>
    </row>
    <row r="25">
      <c r="A25" s="27" t="inlineStr">
        <is>
          <t>fp4 张量算力(TFLOPS)</t>
        </is>
      </c>
      <c r="B25" s="22" t="n">
        <v>10000</v>
      </c>
      <c r="C25" s="22" t="n">
        <v>15000</v>
      </c>
      <c r="D25" s="22" t="n">
        <v>25000</v>
      </c>
    </row>
    <row r="26">
      <c r="A26" s="27" t="inlineStr">
        <is>
          <t>fp8 张量算力(TFLOPS)</t>
        </is>
      </c>
      <c r="B26" s="22" t="n">
        <v>5000</v>
      </c>
      <c r="C26" s="22" t="n">
        <v>5000</v>
      </c>
      <c r="D26" s="22" t="n">
        <v>8333</v>
      </c>
    </row>
    <row r="27">
      <c r="A27" s="27" t="inlineStr">
        <is>
          <t>fp16 张量算力(TFLOPS)</t>
        </is>
      </c>
      <c r="B27" s="22" t="n">
        <v>2500</v>
      </c>
      <c r="C27" s="22" t="n">
        <v>2500</v>
      </c>
      <c r="D27" s="22" t="n">
        <v>4166.5</v>
      </c>
    </row>
    <row r="28">
      <c r="A28" s="27" t="inlineStr">
        <is>
          <t>bf16 张量算力(TFLOPS)</t>
        </is>
      </c>
      <c r="B28" s="22" t="n">
        <v>2500</v>
      </c>
      <c r="C28" s="22" t="n">
        <v>2500</v>
      </c>
      <c r="D28" s="22" t="n">
        <v>4166.5</v>
      </c>
    </row>
    <row r="29">
      <c r="A29" s="27" t="inlineStr">
        <is>
          <t>TF32 张量算力(TFLOPS)</t>
        </is>
      </c>
      <c r="B29" s="22" t="n">
        <v>1250</v>
      </c>
      <c r="C29" s="22" t="n">
        <v>1250</v>
      </c>
      <c r="D29" s="22" t="n">
        <v>2083.25</v>
      </c>
    </row>
    <row r="30">
      <c r="A30" s="27" t="inlineStr">
        <is>
          <t>FP32 张量算力(TFLOPS)</t>
        </is>
      </c>
      <c r="B30" s="22" t="inlineStr">
        <is>
          <t>无</t>
        </is>
      </c>
      <c r="C30" s="22" t="inlineStr">
        <is>
          <t>无</t>
        </is>
      </c>
      <c r="D30" s="22" t="inlineStr">
        <is>
          <t>无</t>
        </is>
      </c>
    </row>
    <row r="31">
      <c r="A31" s="27" t="inlineStr">
        <is>
          <t>FP64 张量算力(TFLOPS)</t>
        </is>
      </c>
      <c r="B31" s="22" t="n">
        <v>40</v>
      </c>
      <c r="C31" s="22" t="n">
        <v>40</v>
      </c>
      <c r="D31" s="22" t="inlineStr">
        <is>
          <t>TBD</t>
        </is>
      </c>
    </row>
    <row r="32">
      <c r="A32" s="27" t="inlineStr">
        <is>
          <t>TDP功耗(W)</t>
        </is>
      </c>
      <c r="B32" s="22" t="n">
        <v>1000</v>
      </c>
      <c r="C32" s="22" t="n">
        <v>1000</v>
      </c>
      <c r="D32" s="22" t="inlineStr">
        <is>
          <t>TBD</t>
        </is>
      </c>
    </row>
    <row r="33">
      <c r="A33" s="27" t="inlineStr">
        <is>
          <t>Link带宽</t>
        </is>
      </c>
      <c r="B33" s="22" t="n">
        <v>900</v>
      </c>
      <c r="C33" s="22" t="n">
        <v>900</v>
      </c>
      <c r="D33" s="30" t="n">
        <v>1800</v>
      </c>
    </row>
    <row r="34">
      <c r="A34" s="27" t="inlineStr">
        <is>
          <t>FP16随机数性能功耗比(Tflops/W)</t>
        </is>
      </c>
      <c r="B34" s="22" t="inlineStr">
        <is>
          <t>TBD</t>
        </is>
      </c>
      <c r="C34" s="22" t="inlineStr">
        <is>
          <t>TBD</t>
        </is>
      </c>
      <c r="D34" s="22" t="inlineStr">
        <is>
          <t>TBD</t>
        </is>
      </c>
    </row>
    <row r="35">
      <c r="A35" s="27" t="inlineStr">
        <is>
          <t>INT8随机数性能功耗比(Tops/W)</t>
        </is>
      </c>
      <c r="B35" s="22" t="inlineStr">
        <is>
          <t>TBD</t>
        </is>
      </c>
      <c r="C35" s="22" t="inlineStr">
        <is>
          <t>TBD</t>
        </is>
      </c>
      <c r="D35" s="22" t="inlineStr">
        <is>
          <t>TBD</t>
        </is>
      </c>
    </row>
    <row r="36">
      <c r="A36" s="27" t="inlineStr">
        <is>
          <t>Transformer(fairseq) TF32 fps</t>
        </is>
      </c>
      <c r="B36" s="22" t="inlineStr">
        <is>
          <t>TBD</t>
        </is>
      </c>
      <c r="C36" s="22" t="inlineStr">
        <is>
          <t>TBD</t>
        </is>
      </c>
      <c r="D36" s="22" t="inlineStr">
        <is>
          <t>TBD</t>
        </is>
      </c>
    </row>
    <row r="37">
      <c r="A37" s="27" t="inlineStr">
        <is>
          <t>Transformer(fairseq) AMP fps</t>
        </is>
      </c>
      <c r="B37" s="22" t="inlineStr">
        <is>
          <t>TBD</t>
        </is>
      </c>
      <c r="C37" s="22" t="inlineStr">
        <is>
          <t>TBD</t>
        </is>
      </c>
      <c r="D37" s="22" t="inlineStr">
        <is>
          <t>TBD</t>
        </is>
      </c>
    </row>
    <row r="38">
      <c r="A38" s="27" t="inlineStr">
        <is>
          <t>FP16 Tensor/HBM Bindwith</t>
        </is>
      </c>
      <c r="B38" s="22" t="n">
        <v>312.5</v>
      </c>
      <c r="C38" s="22" t="n">
        <v>312.5</v>
      </c>
      <c r="D38" s="22" t="n">
        <v>312.5</v>
      </c>
    </row>
    <row r="39">
      <c r="A39" s="27" t="inlineStr">
        <is>
          <t>FP16 Tensor/FP16 Vector</t>
        </is>
      </c>
      <c r="B39" s="22" t="n">
        <v>15.625</v>
      </c>
      <c r="C39" s="22" t="n">
        <v>15.625</v>
      </c>
      <c r="D39" s="22" t="n">
        <v>15.625</v>
      </c>
    </row>
    <row r="40">
      <c r="A40" s="34" t="inlineStr">
        <is>
          <t>FP4 Flops/HBM（Tflops/TBs)</t>
        </is>
      </c>
      <c r="B40" s="30" t="n">
        <v>1250</v>
      </c>
      <c r="C40" s="30" t="n">
        <v>1875</v>
      </c>
      <c r="D40" s="30" t="n">
        <v>1875</v>
      </c>
    </row>
    <row r="41">
      <c r="A41" s="34" t="n"/>
      <c r="B41" s="30" t="n"/>
      <c r="C41" s="30" t="n"/>
      <c r="D41" s="35" t="n"/>
    </row>
    <row r="42">
      <c r="A42" s="34" t="n"/>
      <c r="B42" s="30" t="n"/>
      <c r="C42" s="30" t="n"/>
      <c r="D42" s="35" t="n"/>
    </row>
    <row r="43" ht="14.5" customHeight="1">
      <c r="A43" s="36" t="inlineStr">
        <is>
          <t>注：TBD表示未核实数</t>
        </is>
      </c>
    </row>
    <row r="44" ht="14.5" customHeight="1">
      <c r="A44" s="36" t="inlineStr">
        <is>
          <t xml:space="preserve">      无表示明确无此运算类型</t>
        </is>
      </c>
    </row>
    <row r="45" ht="14.5" customHeight="1">
      <c r="A45" s="36" t="inlineStr">
        <is>
          <t xml:space="preserve">      红色字体表示预估数据</t>
        </is>
      </c>
    </row>
  </sheetData>
  <conditionalFormatting sqref="B40:D40">
    <cfRule type="cellIs" priority="131" operator="equal" dxfId="1">
      <formula>"无"</formula>
    </cfRule>
    <cfRule type="cellIs" priority="132" operator="equal" dxfId="0">
      <formula>"TBD"</formula>
    </cfRule>
  </conditionalFormatting>
  <conditionalFormatting sqref="B38">
    <cfRule type="cellIs" priority="129" operator="equal" dxfId="1">
      <formula>"无"</formula>
    </cfRule>
    <cfRule type="cellIs" priority="130" operator="equal" dxfId="0">
      <formula>"TBD"</formula>
    </cfRule>
  </conditionalFormatting>
  <conditionalFormatting sqref="B8:B9 B11:B18 B20:B21 B23 B25 B27:B29 B32:B33">
    <cfRule type="cellIs" priority="127" operator="equal" dxfId="1">
      <formula>"无"</formula>
    </cfRule>
    <cfRule type="cellIs" priority="128" operator="equal" dxfId="0">
      <formula>"TBD"</formula>
    </cfRule>
  </conditionalFormatting>
  <conditionalFormatting sqref="B4:B6">
    <cfRule type="cellIs" priority="125" operator="equal" dxfId="1">
      <formula>"无"</formula>
    </cfRule>
    <cfRule type="cellIs" priority="126" operator="equal" dxfId="0">
      <formula>"TBD"</formula>
    </cfRule>
  </conditionalFormatting>
  <conditionalFormatting sqref="B2">
    <cfRule type="cellIs" priority="123" operator="equal" dxfId="1">
      <formula>"无"</formula>
    </cfRule>
    <cfRule type="cellIs" priority="124" operator="equal" dxfId="0">
      <formula>"TBD"</formula>
    </cfRule>
  </conditionalFormatting>
  <conditionalFormatting sqref="B41:B42">
    <cfRule type="cellIs" priority="121" operator="equal" dxfId="1">
      <formula>"无"</formula>
    </cfRule>
    <cfRule type="cellIs" priority="122" operator="equal" dxfId="0">
      <formula>"TBD"</formula>
    </cfRule>
  </conditionalFormatting>
  <conditionalFormatting sqref="B26">
    <cfRule type="cellIs" priority="119" operator="equal" dxfId="1">
      <formula>"无"</formula>
    </cfRule>
    <cfRule type="cellIs" priority="120" operator="equal" dxfId="0">
      <formula>"TBD"</formula>
    </cfRule>
  </conditionalFormatting>
  <conditionalFormatting sqref="B10">
    <cfRule type="cellIs" priority="117" operator="equal" dxfId="1">
      <formula>"无"</formula>
    </cfRule>
    <cfRule type="cellIs" priority="118" operator="equal" dxfId="0">
      <formula>"TBD"</formula>
    </cfRule>
  </conditionalFormatting>
  <conditionalFormatting sqref="B3">
    <cfRule type="cellIs" priority="115" operator="equal" dxfId="1">
      <formula>"无"</formula>
    </cfRule>
    <cfRule type="cellIs" priority="116" operator="equal" dxfId="0">
      <formula>"TBD"</formula>
    </cfRule>
  </conditionalFormatting>
  <conditionalFormatting sqref="B30">
    <cfRule type="cellIs" priority="113" operator="equal" dxfId="1">
      <formula>"无"</formula>
    </cfRule>
    <cfRule type="cellIs" priority="114" operator="equal" dxfId="0">
      <formula>"TBD"</formula>
    </cfRule>
  </conditionalFormatting>
  <conditionalFormatting sqref="B31">
    <cfRule type="cellIs" priority="111" operator="equal" dxfId="1">
      <formula>"无"</formula>
    </cfRule>
    <cfRule type="cellIs" priority="112" operator="equal" dxfId="0">
      <formula>"TBD"</formula>
    </cfRule>
  </conditionalFormatting>
  <conditionalFormatting sqref="B24">
    <cfRule type="cellIs" priority="109" operator="equal" dxfId="1">
      <formula>"无"</formula>
    </cfRule>
    <cfRule type="cellIs" priority="110" operator="equal" dxfId="0">
      <formula>"TBD"</formula>
    </cfRule>
  </conditionalFormatting>
  <conditionalFormatting sqref="B22">
    <cfRule type="cellIs" priority="107" operator="equal" dxfId="1">
      <formula>"无"</formula>
    </cfRule>
    <cfRule type="cellIs" priority="108" operator="equal" dxfId="0">
      <formula>"TBD"</formula>
    </cfRule>
  </conditionalFormatting>
  <conditionalFormatting sqref="B7">
    <cfRule type="cellIs" priority="105" operator="equal" dxfId="1">
      <formula>"无"</formula>
    </cfRule>
    <cfRule type="cellIs" priority="106" operator="equal" dxfId="0">
      <formula>"TBD"</formula>
    </cfRule>
  </conditionalFormatting>
  <conditionalFormatting sqref="B34">
    <cfRule type="cellIs" priority="103" operator="equal" dxfId="1">
      <formula>"无"</formula>
    </cfRule>
    <cfRule type="cellIs" priority="104" operator="equal" dxfId="0">
      <formula>"TBD"</formula>
    </cfRule>
  </conditionalFormatting>
  <conditionalFormatting sqref="B35">
    <cfRule type="cellIs" priority="101" operator="equal" dxfId="1">
      <formula>"无"</formula>
    </cfRule>
    <cfRule type="cellIs" priority="102" operator="equal" dxfId="0">
      <formula>"TBD"</formula>
    </cfRule>
  </conditionalFormatting>
  <conditionalFormatting sqref="B36">
    <cfRule type="cellIs" priority="99" operator="equal" dxfId="1">
      <formula>"无"</formula>
    </cfRule>
    <cfRule type="cellIs" priority="100" operator="equal" dxfId="0">
      <formula>"TBD"</formula>
    </cfRule>
  </conditionalFormatting>
  <conditionalFormatting sqref="B37">
    <cfRule type="cellIs" priority="97" operator="equal" dxfId="1">
      <formula>"无"</formula>
    </cfRule>
    <cfRule type="cellIs" priority="98" operator="equal" dxfId="0">
      <formula>"TBD"</formula>
    </cfRule>
  </conditionalFormatting>
  <conditionalFormatting sqref="B39">
    <cfRule type="cellIs" priority="95" operator="equal" dxfId="1">
      <formula>"无"</formula>
    </cfRule>
    <cfRule type="cellIs" priority="96" operator="equal" dxfId="0">
      <formula>"TBD"</formula>
    </cfRule>
  </conditionalFormatting>
  <conditionalFormatting sqref="B19">
    <cfRule type="cellIs" priority="93" operator="equal" dxfId="1">
      <formula>"无"</formula>
    </cfRule>
    <cfRule type="cellIs" priority="94" operator="equal" dxfId="0">
      <formula>"TBD"</formula>
    </cfRule>
  </conditionalFormatting>
  <conditionalFormatting sqref="C38:D38">
    <cfRule type="cellIs" priority="91" operator="equal" dxfId="1">
      <formula>"无"</formula>
    </cfRule>
    <cfRule type="cellIs" priority="92" operator="equal" dxfId="0">
      <formula>"TBD"</formula>
    </cfRule>
    <cfRule type="cellIs" priority="31" operator="equal" dxfId="1">
      <formula>"无"</formula>
    </cfRule>
    <cfRule type="cellIs" priority="32" operator="equal" dxfId="0">
      <formula>"TBD"</formula>
    </cfRule>
  </conditionalFormatting>
  <conditionalFormatting sqref="C8:C9 C11:C18 C20:C21 C23 C25 C27:C29 C32:C33">
    <cfRule type="cellIs" priority="89" operator="equal" dxfId="1">
      <formula>"无"</formula>
    </cfRule>
    <cfRule type="cellIs" priority="90" operator="equal" dxfId="0">
      <formula>"TBD"</formula>
    </cfRule>
  </conditionalFormatting>
  <conditionalFormatting sqref="C4:C6">
    <cfRule type="cellIs" priority="87" operator="equal" dxfId="1">
      <formula>"无"</formula>
    </cfRule>
    <cfRule type="cellIs" priority="88" operator="equal" dxfId="0">
      <formula>"TBD"</formula>
    </cfRule>
  </conditionalFormatting>
  <conditionalFormatting sqref="C2">
    <cfRule type="cellIs" priority="85" operator="equal" dxfId="1">
      <formula>"无"</formula>
    </cfRule>
    <cfRule type="cellIs" priority="86" operator="equal" dxfId="0">
      <formula>"TBD"</formula>
    </cfRule>
  </conditionalFormatting>
  <conditionalFormatting sqref="C41:C42">
    <cfRule type="cellIs" priority="83" operator="equal" dxfId="1">
      <formula>"无"</formula>
    </cfRule>
    <cfRule type="cellIs" priority="84" operator="equal" dxfId="0">
      <formula>"TBD"</formula>
    </cfRule>
  </conditionalFormatting>
  <conditionalFormatting sqref="C26">
    <cfRule type="cellIs" priority="81" operator="equal" dxfId="1">
      <formula>"无"</formula>
    </cfRule>
    <cfRule type="cellIs" priority="82" operator="equal" dxfId="0">
      <formula>"TBD"</formula>
    </cfRule>
    <cfRule type="cellIs" priority="39" operator="equal" dxfId="1">
      <formula>"无"</formula>
    </cfRule>
    <cfRule type="cellIs" priority="40" operator="equal" dxfId="0">
      <formula>"TBD"</formula>
    </cfRule>
  </conditionalFormatting>
  <conditionalFormatting sqref="C10">
    <cfRule type="cellIs" priority="79" operator="equal" dxfId="1">
      <formula>"无"</formula>
    </cfRule>
    <cfRule type="cellIs" priority="80" operator="equal" dxfId="0">
      <formula>"TBD"</formula>
    </cfRule>
  </conditionalFormatting>
  <conditionalFormatting sqref="C3">
    <cfRule type="cellIs" priority="77" operator="equal" dxfId="1">
      <formula>"无"</formula>
    </cfRule>
    <cfRule type="cellIs" priority="78" operator="equal" dxfId="0">
      <formula>"TBD"</formula>
    </cfRule>
  </conditionalFormatting>
  <conditionalFormatting sqref="C30">
    <cfRule type="cellIs" priority="75" operator="equal" dxfId="1">
      <formula>"无"</formula>
    </cfRule>
    <cfRule type="cellIs" priority="76" operator="equal" dxfId="0">
      <formula>"TBD"</formula>
    </cfRule>
  </conditionalFormatting>
  <conditionalFormatting sqref="C31">
    <cfRule type="cellIs" priority="73" operator="equal" dxfId="1">
      <formula>"无"</formula>
    </cfRule>
    <cfRule type="cellIs" priority="74" operator="equal" dxfId="0">
      <formula>"TBD"</formula>
    </cfRule>
  </conditionalFormatting>
  <conditionalFormatting sqref="C24">
    <cfRule type="cellIs" priority="71" operator="equal" dxfId="1">
      <formula>"无"</formula>
    </cfRule>
    <cfRule type="cellIs" priority="72" operator="equal" dxfId="0">
      <formula>"TBD"</formula>
    </cfRule>
    <cfRule type="cellIs" priority="47" operator="equal" dxfId="1">
      <formula>"无"</formula>
    </cfRule>
    <cfRule type="cellIs" priority="48" operator="equal" dxfId="0">
      <formula>"TBD"</formula>
    </cfRule>
  </conditionalFormatting>
  <conditionalFormatting sqref="C22">
    <cfRule type="cellIs" priority="69" operator="equal" dxfId="1">
      <formula>"无"</formula>
    </cfRule>
    <cfRule type="cellIs" priority="70" operator="equal" dxfId="0">
      <formula>"TBD"</formula>
    </cfRule>
  </conditionalFormatting>
  <conditionalFormatting sqref="C7">
    <cfRule type="cellIs" priority="67" operator="equal" dxfId="1">
      <formula>"无"</formula>
    </cfRule>
    <cfRule type="cellIs" priority="68" operator="equal" dxfId="0">
      <formula>"TBD"</formula>
    </cfRule>
  </conditionalFormatting>
  <conditionalFormatting sqref="C34:D34">
    <cfRule type="cellIs" priority="65" operator="equal" dxfId="1">
      <formula>"无"</formula>
    </cfRule>
    <cfRule type="cellIs" priority="66" operator="equal" dxfId="0">
      <formula>"TBD"</formula>
    </cfRule>
  </conditionalFormatting>
  <conditionalFormatting sqref="C35:D35">
    <cfRule type="cellIs" priority="63" operator="equal" dxfId="1">
      <formula>"无"</formula>
    </cfRule>
    <cfRule type="cellIs" priority="64" operator="equal" dxfId="0">
      <formula>"TBD"</formula>
    </cfRule>
  </conditionalFormatting>
  <conditionalFormatting sqref="C36:D36">
    <cfRule type="cellIs" priority="61" operator="equal" dxfId="1">
      <formula>"无"</formula>
    </cfRule>
    <cfRule type="cellIs" priority="62" operator="equal" dxfId="0">
      <formula>"TBD"</formula>
    </cfRule>
  </conditionalFormatting>
  <conditionalFormatting sqref="C37:D37">
    <cfRule type="cellIs" priority="59" operator="equal" dxfId="1">
      <formula>"无"</formula>
    </cfRule>
    <cfRule type="cellIs" priority="60" operator="equal" dxfId="0">
      <formula>"TBD"</formula>
    </cfRule>
  </conditionalFormatting>
  <conditionalFormatting sqref="C39:D39">
    <cfRule type="cellIs" priority="57" operator="equal" dxfId="1">
      <formula>"无"</formula>
    </cfRule>
    <cfRule type="cellIs" priority="58" operator="equal" dxfId="0">
      <formula>"TBD"</formula>
    </cfRule>
    <cfRule type="cellIs" priority="29" operator="equal" dxfId="1">
      <formula>"无"</formula>
    </cfRule>
    <cfRule type="cellIs" priority="30" operator="equal" dxfId="0">
      <formula>"TBD"</formula>
    </cfRule>
  </conditionalFormatting>
  <conditionalFormatting sqref="C19">
    <cfRule type="cellIs" priority="55" operator="equal" dxfId="1">
      <formula>"无"</formula>
    </cfRule>
    <cfRule type="cellIs" priority="56" operator="equal" dxfId="0">
      <formula>"TBD"</formula>
    </cfRule>
  </conditionalFormatting>
  <conditionalFormatting sqref="C40:D40">
    <cfRule type="cellIs" priority="41" operator="equal" dxfId="1">
      <formula>"无"</formula>
    </cfRule>
    <cfRule type="cellIs" priority="42" operator="equal" dxfId="0">
      <formula>"TBD"</formula>
    </cfRule>
  </conditionalFormatting>
  <conditionalFormatting sqref="C10:D10">
    <cfRule type="cellIs" priority="37" operator="equal" dxfId="1">
      <formula>"无"</formula>
    </cfRule>
    <cfRule type="cellIs" priority="38" operator="equal" dxfId="0">
      <formula>"TBD"</formula>
    </cfRule>
  </conditionalFormatting>
  <conditionalFormatting sqref="C7:D7">
    <cfRule type="cellIs" priority="35" operator="equal" dxfId="1">
      <formula>"无"</formula>
    </cfRule>
    <cfRule type="cellIs" priority="36" operator="equal" dxfId="0">
      <formula>"TBD"</formula>
    </cfRule>
  </conditionalFormatting>
  <conditionalFormatting sqref="C8 C12:C23 C25 C31:C35 D33:D35">
    <cfRule type="cellIs" priority="53" operator="equal" dxfId="1">
      <formula>"无"</formula>
    </cfRule>
    <cfRule type="cellIs" priority="54" operator="equal" dxfId="0">
      <formula>"TBD"</formula>
    </cfRule>
  </conditionalFormatting>
  <conditionalFormatting sqref="C4:D6 C11 C27:C30">
    <cfRule type="cellIs" priority="51" operator="equal" dxfId="1">
      <formula>"无"</formula>
    </cfRule>
    <cfRule type="cellIs" priority="52" operator="equal" dxfId="0">
      <formula>"TBD"</formula>
    </cfRule>
  </conditionalFormatting>
  <conditionalFormatting sqref="C36:D37 C41:D42">
    <cfRule type="cellIs" priority="45" operator="equal" dxfId="1">
      <formula>"无"</formula>
    </cfRule>
    <cfRule type="cellIs" priority="46" operator="equal" dxfId="0">
      <formula>"TBD"</formula>
    </cfRule>
  </conditionalFormatting>
  <conditionalFormatting sqref="C2:D2">
    <cfRule type="cellIs" priority="49" operator="equal" dxfId="1">
      <formula>"无"</formula>
    </cfRule>
    <cfRule type="cellIs" priority="50" operator="equal" dxfId="0">
      <formula>"TBD"</formula>
    </cfRule>
  </conditionalFormatting>
  <conditionalFormatting sqref="C9">
    <cfRule type="cellIs" priority="43" operator="equal" dxfId="1">
      <formula>"无"</formula>
    </cfRule>
    <cfRule type="cellIs" priority="44" operator="equal" dxfId="0">
      <formula>"TBD"</formula>
    </cfRule>
  </conditionalFormatting>
  <conditionalFormatting sqref="C3:D3">
    <cfRule type="cellIs" priority="33" operator="equal" dxfId="1">
      <formula>"无"</formula>
    </cfRule>
    <cfRule type="cellIs" priority="34" operator="equal" dxfId="0">
      <formula>"TBD"</formula>
    </cfRule>
  </conditionalFormatting>
  <conditionalFormatting sqref="D3">
    <cfRule type="cellIs" priority="27" operator="equal" dxfId="1">
      <formula>"无"</formula>
    </cfRule>
    <cfRule type="cellIs" priority="28" operator="equal" dxfId="0">
      <formula>"TBD"</formula>
    </cfRule>
    <cfRule type="cellIs" priority="25" operator="equal" dxfId="1">
      <formula>"无"</formula>
    </cfRule>
    <cfRule type="cellIs" priority="26" operator="equal" dxfId="0">
      <formula>"TBD"</formula>
    </cfRule>
  </conditionalFormatting>
  <conditionalFormatting sqref="D8:D9">
    <cfRule type="cellIs" priority="23" operator="equal" dxfId="1">
      <formula>"无"</formula>
    </cfRule>
    <cfRule type="cellIs" priority="24" operator="equal" dxfId="0">
      <formula>"TBD"</formula>
    </cfRule>
  </conditionalFormatting>
  <conditionalFormatting sqref="D8">
    <cfRule type="cellIs" priority="21" operator="equal" dxfId="1">
      <formula>"无"</formula>
    </cfRule>
    <cfRule type="cellIs" priority="22" operator="equal" dxfId="0">
      <formula>"TBD"</formula>
    </cfRule>
  </conditionalFormatting>
  <conditionalFormatting sqref="D9">
    <cfRule type="cellIs" priority="19" operator="equal" dxfId="1">
      <formula>"无"</formula>
    </cfRule>
    <cfRule type="cellIs" priority="20" operator="equal" dxfId="0">
      <formula>"TBD"</formula>
    </cfRule>
  </conditionalFormatting>
  <conditionalFormatting sqref="D11:D25 D31:D32">
    <cfRule type="cellIs" priority="17" operator="equal" dxfId="1">
      <formula>"无"</formula>
    </cfRule>
    <cfRule type="cellIs" priority="18" operator="equal" dxfId="0">
      <formula>"TBD"</formula>
    </cfRule>
  </conditionalFormatting>
  <conditionalFormatting sqref="D12:D13 D15:D25 D31">
    <cfRule type="cellIs" priority="15" operator="equal" dxfId="1">
      <formula>"无"</formula>
    </cfRule>
    <cfRule type="cellIs" priority="16" operator="equal" dxfId="0">
      <formula>"TBD"</formula>
    </cfRule>
  </conditionalFormatting>
  <conditionalFormatting sqref="D11 D14 D17 D20 D23 D32">
    <cfRule type="cellIs" priority="13" operator="equal" dxfId="1">
      <formula>"无"</formula>
    </cfRule>
    <cfRule type="cellIs" priority="14" operator="equal" dxfId="0">
      <formula>"TBD"</formula>
    </cfRule>
  </conditionalFormatting>
  <conditionalFormatting sqref="D27:D29">
    <cfRule type="cellIs" priority="11" operator="equal" dxfId="1">
      <formula>"无"</formula>
    </cfRule>
    <cfRule type="cellIs" priority="12" operator="equal" dxfId="0">
      <formula>"TBD"</formula>
    </cfRule>
    <cfRule type="cellIs" priority="7" operator="equal" dxfId="1">
      <formula>"无"</formula>
    </cfRule>
    <cfRule type="cellIs" priority="8" operator="equal" dxfId="0">
      <formula>"TBD"</formula>
    </cfRule>
  </conditionalFormatting>
  <conditionalFormatting sqref="D26">
    <cfRule type="cellIs" priority="9" operator="equal" dxfId="1">
      <formula>"无"</formula>
    </cfRule>
    <cfRule type="cellIs" priority="10" operator="equal" dxfId="0">
      <formula>"TBD"</formula>
    </cfRule>
    <cfRule type="cellIs" priority="5" operator="equal" dxfId="1">
      <formula>"无"</formula>
    </cfRule>
    <cfRule type="cellIs" priority="6" operator="equal" dxfId="0">
      <formula>"TBD"</formula>
    </cfRule>
  </conditionalFormatting>
  <conditionalFormatting sqref="D30">
    <cfRule type="cellIs" priority="3" operator="equal" dxfId="1">
      <formula>"无"</formula>
    </cfRule>
    <cfRule type="cellIs" priority="4" operator="equal" dxfId="0">
      <formula>"TBD"</formula>
    </cfRule>
    <cfRule type="cellIs" priority="1" operator="equal" dxfId="1">
      <formula>"无"</formula>
    </cfRule>
    <cfRule type="cellIs" priority="2" operator="equal" dxfId="0">
      <formula>"TBD"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2026-10-09T02:19:17Z</dcterms:modified>
</cp:coreProperties>
</file>