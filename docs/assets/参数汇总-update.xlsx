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930" tabRatio="600" firstSheet="0" activeTab="0" autoFilterDateGrouping="1"/>
  </bookViews>
  <sheets>
    <sheet name="云端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11">
    <font>
      <name val="宋体"/>
      <family val="2"/>
      <color theme="1"/>
      <sz val="11"/>
      <scheme val="minor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sz val="11"/>
    </font>
    <font>
      <name val="微软雅黑"/>
      <charset val="134"/>
      <family val="2"/>
      <color theme="1"/>
      <sz val="8"/>
    </font>
    <font>
      <name val="微软雅黑"/>
      <charset val="134"/>
      <family val="2"/>
      <color rgb="FFFF0000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rgb="FFFF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left"/>
    </xf>
    <xf numFmtId="164" fontId="0" fillId="0" borderId="0" pivotButton="0" quotePrefix="0" xfId="0"/>
    <xf numFmtId="164" fontId="1" fillId="0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164" fontId="4" fillId="2" borderId="2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0" fontId="8" fillId="0" borderId="0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6" fillId="0" borderId="0" pivotButton="0" quotePrefix="0" xfId="0"/>
    <xf numFmtId="164" fontId="6" fillId="0" borderId="0" applyAlignment="1" pivotButton="0" quotePrefix="0" xfId="0">
      <alignment horizontal="left"/>
    </xf>
    <xf numFmtId="0" fontId="9" fillId="0" borderId="0" pivotButton="0" quotePrefix="0" xfId="0"/>
    <xf numFmtId="164" fontId="9" fillId="0" borderId="0" pivotButton="0" quotePrefix="0" xfId="0"/>
    <xf numFmtId="164" fontId="1" fillId="0" borderId="1" applyAlignment="1" pivotButton="0" quotePrefix="0" xfId="0">
      <alignment horizontal="right"/>
    </xf>
    <xf numFmtId="0" fontId="10" fillId="0" borderId="0" pivotButton="0" quotePrefix="0" xfId="0"/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6" fillId="0" borderId="0" pivotButton="0" quotePrefix="0" xfId="0"/>
    <xf numFmtId="164" fontId="4" fillId="2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164" fontId="1" fillId="0" borderId="0" pivotButton="0" quotePrefix="0" xfId="0"/>
    <xf numFmtId="164" fontId="6" fillId="0" borderId="0" applyAlignment="1" pivotButton="0" quotePrefix="0" xfId="0">
      <alignment horizontal="left"/>
    </xf>
    <xf numFmtId="164" fontId="4" fillId="2" borderId="2" applyAlignment="1" pivotButton="0" quotePrefix="0" xfId="0">
      <alignment horizontal="right"/>
    </xf>
    <xf numFmtId="164" fontId="0" fillId="0" borderId="0" pivotButton="0" quotePrefix="0" xfId="0"/>
    <xf numFmtId="164" fontId="7" fillId="0" borderId="1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9" fillId="0" borderId="0" pivotButton="0" quotePrefix="0" xfId="0"/>
  </cellXfs>
  <cellStyles count="1">
    <cellStyle name="常规" xfId="0" builtinId="0"/>
  </cellStyles>
  <dxfs count="298"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tabSelected="1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Y11" sqref="Y11"/>
    </sheetView>
  </sheetViews>
  <sheetFormatPr baseColWidth="8" defaultRowHeight="14"/>
  <cols>
    <col width="19.453125" bestFit="1" customWidth="1" min="1" max="1"/>
    <col width="24.36328125" bestFit="1" customWidth="1" min="2" max="2"/>
    <col width="8.26953125" bestFit="1" customWidth="1" min="3" max="3"/>
    <col width="15.7265625" bestFit="1" customWidth="1" min="4" max="4"/>
    <col width="18.90625" bestFit="1" customWidth="1" min="5" max="5"/>
    <col width="10.54296875" bestFit="1" customWidth="1" min="6" max="6"/>
    <col width="23.36328125" bestFit="1" customWidth="1" min="7" max="7"/>
    <col width="22.1796875" bestFit="1" customWidth="1" min="8" max="8"/>
    <col width="22.36328125" bestFit="1" customWidth="1" min="9" max="9"/>
    <col width="17.08984375" bestFit="1" customWidth="1" min="10" max="10"/>
    <col width="15.6328125" bestFit="1" customWidth="1" min="11" max="11"/>
    <col width="14" bestFit="1" customWidth="1" min="12" max="12"/>
    <col width="19.54296875" bestFit="1" customWidth="1" min="13" max="13"/>
    <col width="12.36328125" bestFit="1" customWidth="1" min="14" max="14"/>
    <col width="22" bestFit="1" customWidth="1" min="15" max="15"/>
    <col width="23.36328125" bestFit="1" customWidth="1" min="16" max="17"/>
    <col width="25.08984375" bestFit="1" customWidth="1" min="18" max="21"/>
    <col width="21.81640625" bestFit="1" customWidth="1" min="22" max="23"/>
    <col width="23.1796875" bestFit="1" customWidth="1" min="24" max="24"/>
    <col width="23.7265625" bestFit="1" customWidth="1" min="25" max="26"/>
    <col width="25.08984375" bestFit="1" customWidth="1" min="27" max="28"/>
    <col width="25.26953125" bestFit="1" customWidth="1" min="29" max="31"/>
    <col width="17.90625" bestFit="1" customWidth="1" min="32" max="32"/>
    <col width="24.54296875" bestFit="1" customWidth="1" min="33" max="33"/>
    <col width="11.36328125" bestFit="1" customWidth="1" min="34" max="34"/>
    <col width="35.36328125" bestFit="1" customWidth="1" min="35" max="35"/>
    <col width="33.7265625" bestFit="1" customWidth="1" min="36" max="36"/>
    <col width="33.6328125" bestFit="1" customWidth="1" min="37" max="38"/>
    <col width="31.08984375" bestFit="1" customWidth="1" min="39" max="39"/>
    <col width="29.7265625" bestFit="1" customWidth="1" min="40" max="40"/>
    <col width="28.1796875" bestFit="1" customWidth="1" min="41" max="41"/>
    <col width="32.453125" bestFit="1" customWidth="1" min="42" max="42"/>
    <col width="26.54296875" bestFit="1" customWidth="1" min="43" max="43"/>
    <col width="27.54296875" bestFit="1" customWidth="1" min="44" max="44"/>
    <col width="28.6328125" bestFit="1" customWidth="1" min="45" max="45"/>
    <col width="9.453125" bestFit="1" customWidth="1" min="46" max="46"/>
    <col width="16.81640625" bestFit="1" customWidth="1" min="47" max="47"/>
    <col width="28.6328125" bestFit="1" customWidth="1" min="48" max="48"/>
    <col width="20" bestFit="1" customWidth="1" min="49" max="49"/>
    <col width="21.08984375" bestFit="1" customWidth="1" min="50" max="50"/>
    <col width="17.90625" bestFit="1" customWidth="1" min="51" max="51"/>
    <col width="21.08984375" bestFit="1" customWidth="1" min="52" max="52"/>
  </cols>
  <sheetData>
    <row r="1" ht="16.5" customHeight="1">
      <c r="A1" s="22" t="inlineStr">
        <is>
          <t>芯片</t>
        </is>
      </c>
      <c r="B1" s="23" t="inlineStr">
        <is>
          <t>厂家</t>
        </is>
      </c>
      <c r="C1" s="24" t="inlineStr">
        <is>
          <t>工艺(nm)</t>
        </is>
      </c>
      <c r="D1" s="24" t="inlineStr">
        <is>
          <t>金属层</t>
        </is>
      </c>
      <c r="E1" s="24" t="inlineStr">
        <is>
          <t>时钟频率(GHz)</t>
        </is>
      </c>
      <c r="F1" s="24" t="inlineStr">
        <is>
          <t>Memory Type</t>
        </is>
      </c>
      <c r="G1" s="24" t="inlineStr">
        <is>
          <t>HBM个数</t>
        </is>
      </c>
      <c r="H1" s="24" t="inlineStr">
        <is>
          <t>DDR/HBM带宽(GB/s)</t>
        </is>
      </c>
      <c r="I1" s="24" t="inlineStr">
        <is>
          <t>L2$ Read带宽(GB/s)</t>
        </is>
      </c>
      <c r="J1" s="24" t="inlineStr">
        <is>
          <t>L2$ Store带宽(GB/s)</t>
        </is>
      </c>
      <c r="K1" s="24" t="inlineStr">
        <is>
          <t>DRAM容量(GB)</t>
        </is>
      </c>
      <c r="L1" s="25" t="inlineStr">
        <is>
          <t>L2 cache(MB)</t>
        </is>
      </c>
      <c r="M1" s="25" t="inlineStr">
        <is>
          <t>Regfile(MB)</t>
        </is>
      </c>
      <c r="N1" s="25" t="inlineStr">
        <is>
          <t>SharedMem(MB)</t>
        </is>
      </c>
      <c r="O1" s="24" t="inlineStr">
        <is>
          <t>cluster数目</t>
        </is>
      </c>
      <c r="P1" s="25" t="inlineStr">
        <is>
          <t>int8 向量算力(TOPS)</t>
        </is>
      </c>
      <c r="Q1" s="25" t="inlineStr">
        <is>
          <t>int16 向量算力(TOPS)</t>
        </is>
      </c>
      <c r="R1" s="25" t="inlineStr">
        <is>
          <t>int32 向量算力(TOPS)</t>
        </is>
      </c>
      <c r="S1" s="24" t="inlineStr">
        <is>
          <t>fp16 向量算力(TFLOPS)</t>
        </is>
      </c>
      <c r="T1" s="24" t="inlineStr">
        <is>
          <t>bf16 向量算力(TFLOPS)</t>
        </is>
      </c>
      <c r="U1" s="24" t="inlineStr">
        <is>
          <t>fp32 向量算力(TFLOPS)</t>
        </is>
      </c>
      <c r="V1" s="24" t="inlineStr">
        <is>
          <t>fp64 向量算力(TFLOPS)</t>
        </is>
      </c>
      <c r="W1" s="24" t="inlineStr">
        <is>
          <t>int4 张量算力(TOPs)</t>
        </is>
      </c>
      <c r="X1" s="24" t="inlineStr">
        <is>
          <t>int8 张量算力(TOPs)</t>
        </is>
      </c>
      <c r="Y1" s="24" t="inlineStr">
        <is>
          <t>int16 张量算力(TOPs)</t>
        </is>
      </c>
      <c r="Z1" s="24" t="inlineStr">
        <is>
          <t>fp4 张量算力(TFLOPS)</t>
        </is>
      </c>
      <c r="AA1" s="24" t="inlineStr">
        <is>
          <t>fp8 张量算力(TFLOPS)</t>
        </is>
      </c>
      <c r="AB1" s="24" t="inlineStr">
        <is>
          <t>fp16 张量算力(TFLOPS)</t>
        </is>
      </c>
      <c r="AC1" s="24" t="inlineStr">
        <is>
          <t>bf16 张量算力(TFLOPS)</t>
        </is>
      </c>
      <c r="AD1" s="24" t="inlineStr">
        <is>
          <t>TF32 张量算力(TFLOPS)</t>
        </is>
      </c>
      <c r="AE1" s="24" t="inlineStr">
        <is>
          <t>FP32 张量算力(TFLOPS)</t>
        </is>
      </c>
      <c r="AF1" s="24" t="inlineStr">
        <is>
          <t>FP64 张量算力(TFLOPS)</t>
        </is>
      </c>
      <c r="AG1" s="24" t="inlineStr">
        <is>
          <t>TDP功耗(W)</t>
        </is>
      </c>
      <c r="AH1" s="24" t="inlineStr">
        <is>
          <t>纯IPU单cluster功耗(W)</t>
        </is>
      </c>
      <c r="AI1" s="24" t="inlineStr">
        <is>
          <t>Link带宽</t>
        </is>
      </c>
      <c r="AJ1" s="24" t="inlineStr">
        <is>
          <t>FP16随机数性能功耗比(Tflops/W)</t>
        </is>
      </c>
      <c r="AK1" s="24" t="inlineStr">
        <is>
          <t>INT8随机数性能功耗比(Tops/W)</t>
        </is>
      </c>
      <c r="AL1" s="24" t="inlineStr">
        <is>
          <t>Transformer(fairseq) TF32 fps</t>
        </is>
      </c>
      <c r="AM1" s="24" t="inlineStr">
        <is>
          <t>Transformer(fairseq) AMP fps</t>
        </is>
      </c>
      <c r="AN1" s="24" t="inlineStr">
        <is>
          <t>FP16 Tensor/HBM Bindwith</t>
        </is>
      </c>
      <c r="AO1" s="24" t="inlineStr">
        <is>
          <t>FP4 Tensor/HBM Bindwith</t>
        </is>
      </c>
      <c r="AP1" s="24" t="inlineStr">
        <is>
          <t>FP16 Tensor/FP16 Vector</t>
        </is>
      </c>
      <c r="AQ1" s="26" t="inlineStr">
        <is>
          <t>FP4 Flops/HBM（Tflops/TBs)</t>
        </is>
      </c>
      <c r="AR1" s="26" t="inlineStr">
        <is>
          <t>官宣时间</t>
        </is>
      </c>
      <c r="AS1" s="26" t="inlineStr">
        <is>
          <t>量产/出货</t>
        </is>
      </c>
      <c r="AT1" s="27" t="inlineStr">
        <is>
          <t>架构</t>
        </is>
      </c>
      <c r="AU1" s="27" t="inlineStr">
        <is>
          <t>晶体管数(亿)</t>
        </is>
      </c>
      <c r="AV1" s="27" t="inlineStr">
        <is>
          <t>FP6 张量算力(TFLOPS)</t>
        </is>
      </c>
      <c r="AW1" t="inlineStr">
        <is>
          <t>NVLink/片间互联类型</t>
        </is>
      </c>
      <c r="AX1" t="inlineStr">
        <is>
          <t>scale-out 网络</t>
        </is>
      </c>
      <c r="AY1" t="inlineStr">
        <is>
          <t>整柜/超节点规模</t>
        </is>
      </c>
      <c r="AZ1" t="inlineStr">
        <is>
          <t>整机柜算力</t>
        </is>
      </c>
      <c r="BA1" t="inlineStr">
        <is>
          <t>定位(训练/推理)</t>
        </is>
      </c>
    </row>
    <row r="2" ht="16.5" customHeight="1">
      <c r="A2" s="28" t="inlineStr">
        <is>
          <t>云燧T21</t>
        </is>
      </c>
      <c r="B2" t="inlineStr">
        <is>
          <t>燧原科技</t>
        </is>
      </c>
      <c r="C2" s="22" t="inlineStr">
        <is>
          <t>TBD</t>
        </is>
      </c>
      <c r="D2" s="22" t="inlineStr">
        <is>
          <t>TBD</t>
        </is>
      </c>
      <c r="E2" s="22" t="inlineStr">
        <is>
          <t>TBD</t>
        </is>
      </c>
      <c r="F2" s="22" t="inlineStr">
        <is>
          <t>HBM2e</t>
        </is>
      </c>
      <c r="G2" s="22" t="n"/>
      <c r="H2" s="22" t="n">
        <v>1843</v>
      </c>
      <c r="I2" s="22" t="inlineStr">
        <is>
          <t>TBD</t>
        </is>
      </c>
      <c r="J2" s="22" t="inlineStr">
        <is>
          <t>TBD</t>
        </is>
      </c>
      <c r="K2" s="22" t="inlineStr">
        <is>
          <t>TBD</t>
        </is>
      </c>
      <c r="L2" s="22" t="inlineStr">
        <is>
          <t>TBD</t>
        </is>
      </c>
      <c r="M2" s="22" t="inlineStr">
        <is>
          <t>TBD</t>
        </is>
      </c>
      <c r="N2" s="22" t="inlineStr">
        <is>
          <t>TBD</t>
        </is>
      </c>
      <c r="O2" s="22" t="inlineStr">
        <is>
          <t>TBD</t>
        </is>
      </c>
      <c r="P2" s="29" t="inlineStr">
        <is>
          <t>无</t>
        </is>
      </c>
      <c r="Q2" s="29" t="inlineStr">
        <is>
          <t>无</t>
        </is>
      </c>
      <c r="R2" s="22" t="inlineStr">
        <is>
          <t>TBD</t>
        </is>
      </c>
      <c r="S2" s="22" t="inlineStr">
        <is>
          <t>TBD</t>
        </is>
      </c>
      <c r="T2" s="22" t="inlineStr">
        <is>
          <t>TBD</t>
        </is>
      </c>
      <c r="U2" s="22" t="inlineStr">
        <is>
          <t>TBD</t>
        </is>
      </c>
      <c r="V2" s="22" t="inlineStr">
        <is>
          <t>TBD</t>
        </is>
      </c>
      <c r="W2" s="22" t="inlineStr">
        <is>
          <t>TBD</t>
        </is>
      </c>
      <c r="X2" s="22" t="n">
        <v>320</v>
      </c>
      <c r="Y2" s="29" t="inlineStr">
        <is>
          <t>无</t>
        </is>
      </c>
      <c r="Z2" s="29" t="inlineStr">
        <is>
          <t>无</t>
        </is>
      </c>
      <c r="AA2" s="29" t="inlineStr">
        <is>
          <t>无</t>
        </is>
      </c>
      <c r="AB2" s="22" t="n">
        <v>160</v>
      </c>
      <c r="AC2" s="22" t="n">
        <v>160</v>
      </c>
      <c r="AD2" s="22" t="n">
        <v>160</v>
      </c>
      <c r="AE2" s="22" t="n">
        <v>40</v>
      </c>
      <c r="AF2" s="22" t="inlineStr">
        <is>
          <t>无</t>
        </is>
      </c>
      <c r="AG2" s="22" t="n">
        <v>300</v>
      </c>
      <c r="AH2" s="22" t="n"/>
      <c r="AI2" s="22" t="inlineStr">
        <is>
          <t>TBD</t>
        </is>
      </c>
      <c r="AJ2" s="22" t="inlineStr">
        <is>
          <t>TBD</t>
        </is>
      </c>
      <c r="AK2" s="22" t="inlineStr">
        <is>
          <t>TBD</t>
        </is>
      </c>
      <c r="AL2" s="22" t="inlineStr">
        <is>
          <t>TBD</t>
        </is>
      </c>
      <c r="AM2" s="22" t="inlineStr">
        <is>
          <t>TBD</t>
        </is>
      </c>
      <c r="AN2" s="22">
        <f>AA2/G2*1000</f>
        <v/>
      </c>
      <c r="AO2" s="22">
        <f>Y2/G2*1000</f>
        <v/>
      </c>
      <c r="AP2" s="22">
        <f>AA2/R2</f>
        <v/>
      </c>
      <c r="AQ2" s="30">
        <f>Y2/G2*1000</f>
        <v/>
      </c>
      <c r="AR2" s="30" t="n"/>
      <c r="AS2" s="30" t="n"/>
      <c r="AT2" s="31" t="n"/>
      <c r="AU2" s="31" t="n"/>
      <c r="AV2" s="31" t="n"/>
      <c r="AW2" s="31" t="n"/>
      <c r="AX2" s="31" t="n"/>
      <c r="AY2" s="31" t="n"/>
      <c r="AZ2" s="31" t="n"/>
      <c r="BA2" s="31" t="n"/>
    </row>
    <row r="3" ht="16.5" customHeight="1">
      <c r="A3" s="28" t="inlineStr">
        <is>
          <t>Swift A3</t>
        </is>
      </c>
      <c r="B3" t="inlineStr">
        <is>
          <t>燧原科技</t>
        </is>
      </c>
      <c r="C3" s="32" t="inlineStr">
        <is>
          <t>n7</t>
        </is>
      </c>
      <c r="D3" s="22" t="inlineStr">
        <is>
          <t>TBD</t>
        </is>
      </c>
      <c r="E3" s="32" t="n">
        <v>1.6</v>
      </c>
      <c r="F3" s="32" t="inlineStr">
        <is>
          <t>HBM2e</t>
        </is>
      </c>
      <c r="G3" s="32" t="n"/>
      <c r="H3" s="22">
        <f>3.2*1024/8*3</f>
        <v/>
      </c>
      <c r="I3" s="22" t="inlineStr">
        <is>
          <t>TBD</t>
        </is>
      </c>
      <c r="J3" s="22" t="inlineStr">
        <is>
          <t>TBD</t>
        </is>
      </c>
      <c r="K3" s="22" t="inlineStr">
        <is>
          <t>TBD</t>
        </is>
      </c>
      <c r="L3" s="22" t="n">
        <v>24</v>
      </c>
      <c r="M3" s="22">
        <f>512*4*N3/1024</f>
        <v/>
      </c>
      <c r="N3" s="22">
        <f>2*N3</f>
        <v/>
      </c>
      <c r="O3" s="22" t="n">
        <v>10</v>
      </c>
      <c r="P3" s="22">
        <f>P3*2</f>
        <v/>
      </c>
      <c r="Q3" s="22">
        <f>Q3*2</f>
        <v/>
      </c>
      <c r="R3" s="22">
        <f>8*8*2*D3*N3*4/1024</f>
        <v/>
      </c>
      <c r="S3" s="22">
        <f>(8*16*2+128)*D3*N3*4/1024</f>
        <v/>
      </c>
      <c r="T3" s="29" t="inlineStr">
        <is>
          <t>无</t>
        </is>
      </c>
      <c r="U3" s="22">
        <f>R3/2</f>
        <v/>
      </c>
      <c r="V3" s="29" t="inlineStr">
        <is>
          <t>无</t>
        </is>
      </c>
      <c r="W3" s="22">
        <f>W3*2</f>
        <v/>
      </c>
      <c r="X3" s="22">
        <f>64*64*2*N3*4*D3/1000</f>
        <v/>
      </c>
      <c r="Y3" s="22">
        <f>W3/2</f>
        <v/>
      </c>
      <c r="Z3" s="29" t="inlineStr">
        <is>
          <t>无</t>
        </is>
      </c>
      <c r="AA3" s="29" t="inlineStr">
        <is>
          <t>无</t>
        </is>
      </c>
      <c r="AB3" s="22">
        <f>X3</f>
        <v/>
      </c>
      <c r="AC3" s="22">
        <f>AA3</f>
        <v/>
      </c>
      <c r="AD3" s="22">
        <f>AB3/2</f>
        <v/>
      </c>
      <c r="AE3" s="22">
        <f>AC3/2</f>
        <v/>
      </c>
      <c r="AF3" s="29" t="inlineStr">
        <is>
          <t>无</t>
        </is>
      </c>
      <c r="AG3" s="22" t="n">
        <v>400</v>
      </c>
      <c r="AH3" s="22" t="n"/>
      <c r="AI3" s="22" t="inlineStr">
        <is>
          <t>TBD</t>
        </is>
      </c>
      <c r="AJ3" s="22" t="inlineStr">
        <is>
          <t>TBD</t>
        </is>
      </c>
      <c r="AK3" s="22" t="inlineStr">
        <is>
          <t>TBD</t>
        </is>
      </c>
      <c r="AL3" s="22" t="inlineStr">
        <is>
          <t>TBD</t>
        </is>
      </c>
      <c r="AM3" s="22" t="inlineStr">
        <is>
          <t>TBD</t>
        </is>
      </c>
      <c r="AN3" s="22">
        <f>AA3/G3*1000</f>
        <v/>
      </c>
      <c r="AO3" s="22">
        <f>Y3/G3*1000</f>
        <v/>
      </c>
      <c r="AP3" s="22">
        <f>AA3/R3</f>
        <v/>
      </c>
      <c r="AQ3" s="30">
        <f>Y3/G3*1000</f>
        <v/>
      </c>
      <c r="AR3" s="30" t="n"/>
      <c r="AS3" s="30" t="n"/>
      <c r="AT3" s="33" t="n"/>
      <c r="AU3" s="33" t="n"/>
      <c r="AV3" s="33" t="n"/>
      <c r="AW3" s="33" t="n"/>
      <c r="AX3" s="33" t="n"/>
      <c r="AY3" s="33" t="n"/>
      <c r="AZ3" s="33" t="n"/>
      <c r="BA3" s="33" t="n"/>
    </row>
    <row r="4" ht="16.5" customHeight="1">
      <c r="A4" s="28" t="inlineStr">
        <is>
          <t>A30</t>
        </is>
      </c>
      <c r="B4" t="inlineStr">
        <is>
          <t>NVIDIA</t>
        </is>
      </c>
      <c r="C4" s="22" t="inlineStr">
        <is>
          <t>n7</t>
        </is>
      </c>
      <c r="D4" s="22" t="inlineStr">
        <is>
          <t>TBD</t>
        </is>
      </c>
      <c r="E4" s="22" t="n">
        <v>1.695</v>
      </c>
      <c r="F4" s="22" t="inlineStr">
        <is>
          <t>HBM2</t>
        </is>
      </c>
      <c r="G4" s="22" t="n"/>
      <c r="H4" s="22" t="n">
        <v>933</v>
      </c>
      <c r="I4" s="22" t="inlineStr">
        <is>
          <t>TBD</t>
        </is>
      </c>
      <c r="J4" s="22" t="inlineStr">
        <is>
          <t>TBD</t>
        </is>
      </c>
      <c r="K4" s="22" t="inlineStr">
        <is>
          <t>TBD</t>
        </is>
      </c>
      <c r="L4" s="22" t="inlineStr">
        <is>
          <t>TBD</t>
        </is>
      </c>
      <c r="M4" s="22" t="inlineStr">
        <is>
          <t>TBD</t>
        </is>
      </c>
      <c r="N4" s="22" t="inlineStr">
        <is>
          <t>TBD</t>
        </is>
      </c>
      <c r="O4" s="22" t="inlineStr">
        <is>
          <t>TBD</t>
        </is>
      </c>
      <c r="P4" s="29" t="inlineStr">
        <is>
          <t>无</t>
        </is>
      </c>
      <c r="Q4" s="29" t="inlineStr">
        <is>
          <t>无</t>
        </is>
      </c>
      <c r="R4" s="22" t="n">
        <v>10.3</v>
      </c>
      <c r="S4" s="22" t="n">
        <v>41.2</v>
      </c>
      <c r="T4" s="22" t="n">
        <v>20.6</v>
      </c>
      <c r="U4" s="22" t="n">
        <v>10.3</v>
      </c>
      <c r="V4" s="22" t="n">
        <v>5.2</v>
      </c>
      <c r="W4" s="22" t="n">
        <v>661</v>
      </c>
      <c r="X4" s="22" t="n">
        <v>330</v>
      </c>
      <c r="Y4" s="29" t="inlineStr">
        <is>
          <t>无</t>
        </is>
      </c>
      <c r="Z4" s="29" t="inlineStr">
        <is>
          <t>无</t>
        </is>
      </c>
      <c r="AA4" s="29" t="inlineStr">
        <is>
          <t>无</t>
        </is>
      </c>
      <c r="AB4" s="22" t="n">
        <v>165</v>
      </c>
      <c r="AC4" s="22" t="n">
        <v>165</v>
      </c>
      <c r="AD4" s="22" t="n">
        <v>82</v>
      </c>
      <c r="AE4" s="29" t="inlineStr">
        <is>
          <t>无</t>
        </is>
      </c>
      <c r="AF4" s="22" t="n">
        <v>10.3</v>
      </c>
      <c r="AG4" s="22" t="n">
        <v>165</v>
      </c>
      <c r="AH4" s="22" t="n"/>
      <c r="AI4" s="22" t="inlineStr">
        <is>
          <t>TBD</t>
        </is>
      </c>
      <c r="AJ4" s="22" t="inlineStr">
        <is>
          <t>TBD</t>
        </is>
      </c>
      <c r="AK4" s="22" t="inlineStr">
        <is>
          <t>TBD</t>
        </is>
      </c>
      <c r="AL4" s="22" t="inlineStr">
        <is>
          <t>TBD</t>
        </is>
      </c>
      <c r="AM4" s="22" t="inlineStr">
        <is>
          <t>TBD</t>
        </is>
      </c>
      <c r="AN4" s="22">
        <f>AA4/G4*1000</f>
        <v/>
      </c>
      <c r="AO4" s="22">
        <f>Y4/G4*1000</f>
        <v/>
      </c>
      <c r="AP4" s="22">
        <f>AA4/R4</f>
        <v/>
      </c>
      <c r="AQ4" s="30">
        <f>Y4/G4*1000</f>
        <v/>
      </c>
      <c r="AR4" s="30" t="n"/>
      <c r="AS4" s="30" t="n"/>
      <c r="AT4" s="31" t="n"/>
      <c r="AU4" s="31" t="n"/>
      <c r="AV4" s="31" t="n"/>
      <c r="AW4" s="31" t="n"/>
      <c r="AX4" s="31" t="n"/>
      <c r="AY4" s="31" t="n"/>
      <c r="AZ4" s="31" t="n"/>
      <c r="BA4" s="31" t="n"/>
    </row>
    <row r="5" ht="16.5" customHeight="1">
      <c r="A5" s="28" t="inlineStr">
        <is>
          <t>V100 SXM</t>
        </is>
      </c>
      <c r="B5" t="inlineStr">
        <is>
          <t>NVIDIA</t>
        </is>
      </c>
      <c r="C5" s="22" t="inlineStr">
        <is>
          <t>TBD</t>
        </is>
      </c>
      <c r="D5" s="22" t="inlineStr">
        <is>
          <t>TBD</t>
        </is>
      </c>
      <c r="E5" s="22" t="n">
        <v>1.53</v>
      </c>
      <c r="F5" s="22" t="inlineStr">
        <is>
          <t>TBD</t>
        </is>
      </c>
      <c r="G5" s="22" t="n"/>
      <c r="H5" s="22" t="n">
        <v>900</v>
      </c>
      <c r="I5" s="22" t="inlineStr">
        <is>
          <t>TBD</t>
        </is>
      </c>
      <c r="J5" s="22" t="inlineStr">
        <is>
          <t>TBD</t>
        </is>
      </c>
      <c r="K5" s="22" t="inlineStr">
        <is>
          <t>TBD</t>
        </is>
      </c>
      <c r="L5" s="22" t="n">
        <v>6</v>
      </c>
      <c r="M5" s="22" t="inlineStr">
        <is>
          <t>TBD</t>
        </is>
      </c>
      <c r="N5" s="22" t="inlineStr">
        <is>
          <t>TBD</t>
        </is>
      </c>
      <c r="O5" s="22" t="n">
        <v>80</v>
      </c>
      <c r="P5" s="29" t="inlineStr">
        <is>
          <t>无</t>
        </is>
      </c>
      <c r="Q5" s="29" t="inlineStr">
        <is>
          <t>无</t>
        </is>
      </c>
      <c r="R5" s="22" t="n">
        <v>15.7</v>
      </c>
      <c r="S5" s="22" t="n">
        <v>31.4</v>
      </c>
      <c r="T5" s="29" t="inlineStr">
        <is>
          <t>无</t>
        </is>
      </c>
      <c r="U5" s="22" t="n">
        <v>15.7</v>
      </c>
      <c r="V5" s="22" t="n">
        <v>7.8</v>
      </c>
      <c r="W5" s="29" t="inlineStr">
        <is>
          <t>无</t>
        </is>
      </c>
      <c r="X5" s="29" t="inlineStr">
        <is>
          <t>无</t>
        </is>
      </c>
      <c r="Y5" s="29" t="inlineStr">
        <is>
          <t>无</t>
        </is>
      </c>
      <c r="Z5" s="29" t="inlineStr">
        <is>
          <t>无</t>
        </is>
      </c>
      <c r="AA5" s="29" t="inlineStr">
        <is>
          <t>无</t>
        </is>
      </c>
      <c r="AB5" s="22" t="n">
        <v>125</v>
      </c>
      <c r="AC5" s="29" t="inlineStr">
        <is>
          <t>无</t>
        </is>
      </c>
      <c r="AD5" s="29" t="inlineStr">
        <is>
          <t>无</t>
        </is>
      </c>
      <c r="AE5" s="29" t="inlineStr">
        <is>
          <t>无</t>
        </is>
      </c>
      <c r="AF5" s="29" t="inlineStr">
        <is>
          <t>无</t>
        </is>
      </c>
      <c r="AG5" s="22" t="n">
        <v>300</v>
      </c>
      <c r="AH5" s="22" t="n"/>
      <c r="AI5" s="22" t="n">
        <v>150</v>
      </c>
      <c r="AJ5" s="22" t="inlineStr">
        <is>
          <t>TBD</t>
        </is>
      </c>
      <c r="AK5" s="22" t="inlineStr">
        <is>
          <t>TBD</t>
        </is>
      </c>
      <c r="AL5" s="22" t="inlineStr">
        <is>
          <t>TBD</t>
        </is>
      </c>
      <c r="AM5" s="22" t="inlineStr">
        <is>
          <t>TBD</t>
        </is>
      </c>
      <c r="AN5" s="22">
        <f>AA5/G5*1000</f>
        <v/>
      </c>
      <c r="AO5" s="22">
        <f>Y5/G5*1000</f>
        <v/>
      </c>
      <c r="AP5" s="22">
        <f>AA5/R5</f>
        <v/>
      </c>
      <c r="AQ5" s="30">
        <f>Y5/G5*1000</f>
        <v/>
      </c>
      <c r="AR5" s="30" t="n"/>
      <c r="AS5" s="30" t="n"/>
      <c r="AT5" s="34" t="n"/>
      <c r="AU5" s="34" t="n"/>
      <c r="AV5" s="31" t="n"/>
      <c r="AW5" s="31" t="n"/>
      <c r="AX5" s="31" t="n"/>
      <c r="AY5" s="31" t="n"/>
      <c r="AZ5" s="31" t="n"/>
      <c r="BA5" s="31" t="n"/>
    </row>
    <row r="6" ht="16.5" customHeight="1">
      <c r="A6" s="28" t="inlineStr">
        <is>
          <t>ANT</t>
        </is>
      </c>
      <c r="B6" t="inlineStr">
        <is>
          <t>阿里平头哥</t>
        </is>
      </c>
      <c r="C6" s="32" t="inlineStr">
        <is>
          <t>n7</t>
        </is>
      </c>
      <c r="D6" s="22" t="inlineStr">
        <is>
          <t>TBD</t>
        </is>
      </c>
      <c r="E6" s="32" t="n">
        <v>1</v>
      </c>
      <c r="F6" s="32" t="inlineStr">
        <is>
          <t>LPDDR5</t>
        </is>
      </c>
      <c r="G6" s="32" t="n"/>
      <c r="H6" s="22" t="n">
        <v>300</v>
      </c>
      <c r="I6" s="22" t="inlineStr">
        <is>
          <t>TBD</t>
        </is>
      </c>
      <c r="J6" s="22" t="inlineStr">
        <is>
          <t>TBD</t>
        </is>
      </c>
      <c r="K6" s="22" t="inlineStr">
        <is>
          <t>TBD</t>
        </is>
      </c>
      <c r="L6" s="22" t="inlineStr">
        <is>
          <t>TBD</t>
        </is>
      </c>
      <c r="M6" s="22" t="inlineStr">
        <is>
          <t>TBD</t>
        </is>
      </c>
      <c r="N6" s="22" t="inlineStr">
        <is>
          <t>TBD</t>
        </is>
      </c>
      <c r="O6" s="22" t="n">
        <v>8</v>
      </c>
      <c r="P6" s="22">
        <f>P6*2</f>
        <v/>
      </c>
      <c r="Q6" s="22">
        <f>Q6*2</f>
        <v/>
      </c>
      <c r="R6" s="22">
        <f>8*8*D6*N6*4/1000</f>
        <v/>
      </c>
      <c r="S6" s="22">
        <f>(8*16+128)*D6*N6*4/1000</f>
        <v/>
      </c>
      <c r="T6" s="29" t="inlineStr">
        <is>
          <t>无</t>
        </is>
      </c>
      <c r="U6" s="22">
        <f>R6/2</f>
        <v/>
      </c>
      <c r="V6" s="29" t="inlineStr">
        <is>
          <t>无</t>
        </is>
      </c>
      <c r="W6" s="22">
        <f>W6*2</f>
        <v/>
      </c>
      <c r="X6" s="22">
        <f>64*64*2*32*1/1000</f>
        <v/>
      </c>
      <c r="Y6" s="22">
        <f>W6/2</f>
        <v/>
      </c>
      <c r="Z6" s="29" t="inlineStr">
        <is>
          <t>无</t>
        </is>
      </c>
      <c r="AA6" s="29" t="inlineStr">
        <is>
          <t>无</t>
        </is>
      </c>
      <c r="AB6" s="22">
        <f>X6*3/4</f>
        <v/>
      </c>
      <c r="AC6" s="22">
        <f>AA6</f>
        <v/>
      </c>
      <c r="AD6" s="29" t="inlineStr">
        <is>
          <t>无</t>
        </is>
      </c>
      <c r="AE6" s="22">
        <f>AB6/4</f>
        <v/>
      </c>
      <c r="AF6" s="29" t="inlineStr">
        <is>
          <t>无</t>
        </is>
      </c>
      <c r="AG6" s="22" t="inlineStr">
        <is>
          <t>TBD</t>
        </is>
      </c>
      <c r="AH6" s="22" t="n"/>
      <c r="AI6" s="22" t="inlineStr">
        <is>
          <t>TBD</t>
        </is>
      </c>
      <c r="AJ6" s="22" t="inlineStr">
        <is>
          <t>TBD</t>
        </is>
      </c>
      <c r="AK6" s="22" t="inlineStr">
        <is>
          <t>TBD</t>
        </is>
      </c>
      <c r="AL6" s="22" t="inlineStr">
        <is>
          <t>TBD</t>
        </is>
      </c>
      <c r="AM6" s="22" t="inlineStr">
        <is>
          <t>TBD</t>
        </is>
      </c>
      <c r="AN6" s="22">
        <f>AA6/G6*1000</f>
        <v/>
      </c>
      <c r="AO6" s="22">
        <f>Y6/G6*1000</f>
        <v/>
      </c>
      <c r="AP6" s="22">
        <f>AA6/R6</f>
        <v/>
      </c>
      <c r="AQ6" s="30">
        <f>Y6/G6*1000</f>
        <v/>
      </c>
      <c r="AR6" s="30" t="n"/>
      <c r="AS6" s="30" t="n"/>
      <c r="AT6" s="27" t="n"/>
      <c r="AU6" s="27" t="n"/>
      <c r="AV6" s="33" t="n"/>
      <c r="AW6" s="33" t="n"/>
      <c r="AX6" s="33" t="n"/>
      <c r="AY6" s="33" t="n"/>
      <c r="AZ6" s="33" t="n"/>
      <c r="BA6" s="33" t="n"/>
    </row>
    <row r="7" ht="16.5" customHeight="1">
      <c r="A7" s="28" t="inlineStr">
        <is>
          <t>A10</t>
        </is>
      </c>
      <c r="B7" t="inlineStr">
        <is>
          <t>NVIDIA</t>
        </is>
      </c>
      <c r="C7" s="22" t="inlineStr">
        <is>
          <t>TBD</t>
        </is>
      </c>
      <c r="D7" s="22" t="inlineStr">
        <is>
          <t>TBD</t>
        </is>
      </c>
      <c r="E7" s="22" t="n">
        <v>1.695</v>
      </c>
      <c r="F7" s="22" t="inlineStr">
        <is>
          <t>GDDR6</t>
        </is>
      </c>
      <c r="G7" s="22" t="n"/>
      <c r="H7" s="22" t="n">
        <v>600</v>
      </c>
      <c r="I7" s="22" t="inlineStr">
        <is>
          <t>TBD</t>
        </is>
      </c>
      <c r="J7" s="22" t="inlineStr">
        <is>
          <t>TBD</t>
        </is>
      </c>
      <c r="K7" s="22" t="inlineStr">
        <is>
          <t>TBD</t>
        </is>
      </c>
      <c r="L7" s="22" t="n">
        <v>40</v>
      </c>
      <c r="M7" s="22" t="inlineStr">
        <is>
          <t>TBD</t>
        </is>
      </c>
      <c r="N7" s="22" t="inlineStr">
        <is>
          <t>TBD</t>
        </is>
      </c>
      <c r="O7" s="22" t="inlineStr">
        <is>
          <t>TBD</t>
        </is>
      </c>
      <c r="P7" s="29" t="inlineStr">
        <is>
          <t>无</t>
        </is>
      </c>
      <c r="Q7" s="29" t="inlineStr">
        <is>
          <t>无</t>
        </is>
      </c>
      <c r="R7" s="22" t="inlineStr">
        <is>
          <t>TBD</t>
        </is>
      </c>
      <c r="S7" s="22" t="inlineStr">
        <is>
          <t>TBD</t>
        </is>
      </c>
      <c r="T7" s="22" t="inlineStr">
        <is>
          <t>TBD</t>
        </is>
      </c>
      <c r="U7" s="22" t="n">
        <v>31.2</v>
      </c>
      <c r="V7" s="22" t="inlineStr">
        <is>
          <t>TBD</t>
        </is>
      </c>
      <c r="W7" s="22" t="n">
        <v>500</v>
      </c>
      <c r="X7" s="22" t="n">
        <v>250</v>
      </c>
      <c r="Y7" s="29" t="inlineStr">
        <is>
          <t>无</t>
        </is>
      </c>
      <c r="Z7" s="29" t="inlineStr">
        <is>
          <t>无</t>
        </is>
      </c>
      <c r="AA7" s="29" t="inlineStr">
        <is>
          <t>无</t>
        </is>
      </c>
      <c r="AB7" s="22" t="n">
        <v>125</v>
      </c>
      <c r="AC7" s="22" t="n">
        <v>125</v>
      </c>
      <c r="AD7" s="22" t="n">
        <v>62.5</v>
      </c>
      <c r="AE7" s="29" t="inlineStr">
        <is>
          <t>无</t>
        </is>
      </c>
      <c r="AF7" s="22" t="n">
        <v>7.8125</v>
      </c>
      <c r="AG7" s="22" t="n">
        <v>150</v>
      </c>
      <c r="AH7" s="22" t="n"/>
      <c r="AI7" s="22" t="inlineStr">
        <is>
          <t>TBD</t>
        </is>
      </c>
      <c r="AJ7" s="22" t="inlineStr">
        <is>
          <t>TBD</t>
        </is>
      </c>
      <c r="AK7" s="22" t="inlineStr">
        <is>
          <t>TBD</t>
        </is>
      </c>
      <c r="AL7" s="22" t="inlineStr">
        <is>
          <t>TBD</t>
        </is>
      </c>
      <c r="AM7" s="22" t="inlineStr">
        <is>
          <t>TBD</t>
        </is>
      </c>
      <c r="AN7" s="22">
        <f>AA7/G7*1000</f>
        <v/>
      </c>
      <c r="AO7" s="22">
        <f>Y7/G7*1000</f>
        <v/>
      </c>
      <c r="AP7" s="22">
        <f>AA7/R7</f>
        <v/>
      </c>
      <c r="AQ7" s="30">
        <f>Y7/G7*1000</f>
        <v/>
      </c>
      <c r="AR7" s="30" t="n"/>
      <c r="AS7" s="30" t="n"/>
      <c r="AT7" s="31" t="n"/>
      <c r="AU7" s="31" t="n"/>
      <c r="AV7" s="31" t="n"/>
      <c r="AW7" s="31" t="n"/>
      <c r="AX7" s="31" t="n"/>
      <c r="AY7" s="31" t="n"/>
      <c r="AZ7" s="31" t="n"/>
      <c r="BA7" s="31" t="n"/>
    </row>
    <row r="8" ht="16.5" customHeight="1">
      <c r="A8" s="28" t="inlineStr">
        <is>
          <t>A100 SXM</t>
        </is>
      </c>
      <c r="B8" t="inlineStr">
        <is>
          <t>NVIDIA</t>
        </is>
      </c>
      <c r="C8" s="22" t="inlineStr">
        <is>
          <t>n7</t>
        </is>
      </c>
      <c r="D8" s="22" t="inlineStr">
        <is>
          <t>TBD</t>
        </is>
      </c>
      <c r="E8" s="22" t="n">
        <v>1.41</v>
      </c>
      <c r="F8" s="22" t="inlineStr">
        <is>
          <t>HBM2e</t>
        </is>
      </c>
      <c r="G8" s="22" t="n"/>
      <c r="H8" s="22">
        <f>3.2*1024/8*5</f>
        <v/>
      </c>
      <c r="I8" s="22" t="inlineStr">
        <is>
          <t>TBD</t>
        </is>
      </c>
      <c r="J8" s="22" t="inlineStr">
        <is>
          <t>TBD</t>
        </is>
      </c>
      <c r="K8" s="22">
        <f>16*5</f>
        <v/>
      </c>
      <c r="L8" s="22" t="n">
        <v>40</v>
      </c>
      <c r="M8" s="22">
        <f>256*N8/1024</f>
        <v/>
      </c>
      <c r="N8" s="22">
        <f>164*N8/1024</f>
        <v/>
      </c>
      <c r="O8" s="22" t="n">
        <v>108</v>
      </c>
      <c r="P8" s="29" t="inlineStr">
        <is>
          <t>无</t>
        </is>
      </c>
      <c r="Q8" s="29" t="inlineStr">
        <is>
          <t>无</t>
        </is>
      </c>
      <c r="R8" s="22" t="n">
        <v>19.5</v>
      </c>
      <c r="S8" s="22" t="n">
        <v>78</v>
      </c>
      <c r="T8" s="22" t="n">
        <v>39</v>
      </c>
      <c r="U8" s="22" t="n">
        <v>19.5</v>
      </c>
      <c r="V8" s="22" t="n">
        <v>9.699999999999999</v>
      </c>
      <c r="W8" s="22" t="n">
        <v>1248</v>
      </c>
      <c r="X8" s="22" t="n">
        <v>624</v>
      </c>
      <c r="Y8" s="29" t="inlineStr">
        <is>
          <t>无</t>
        </is>
      </c>
      <c r="Z8" s="29" t="inlineStr">
        <is>
          <t>无</t>
        </is>
      </c>
      <c r="AA8" s="29" t="inlineStr">
        <is>
          <t>无</t>
        </is>
      </c>
      <c r="AB8" s="22" t="n">
        <v>312</v>
      </c>
      <c r="AC8" s="22" t="n">
        <v>312</v>
      </c>
      <c r="AD8" s="22" t="n">
        <v>156</v>
      </c>
      <c r="AE8" s="29" t="inlineStr">
        <is>
          <t>无</t>
        </is>
      </c>
      <c r="AF8" s="22" t="n">
        <v>19.5</v>
      </c>
      <c r="AG8" s="22" t="n">
        <v>400</v>
      </c>
      <c r="AH8" s="22" t="n"/>
      <c r="AI8" s="22" t="n">
        <v>300</v>
      </c>
      <c r="AJ8" s="22" t="n">
        <v>0.63</v>
      </c>
      <c r="AK8" s="22" t="inlineStr">
        <is>
          <t>TBD</t>
        </is>
      </c>
      <c r="AL8" s="22" t="n">
        <v>47611</v>
      </c>
      <c r="AM8" s="22" t="n">
        <v>71835</v>
      </c>
      <c r="AN8" s="22">
        <f>AA8/G8*1000</f>
        <v/>
      </c>
      <c r="AO8" s="22">
        <f>Y8/G8*1000</f>
        <v/>
      </c>
      <c r="AP8" s="22">
        <f>AA8/R8</f>
        <v/>
      </c>
      <c r="AQ8" s="30">
        <f>Y8/G8*1000</f>
        <v/>
      </c>
      <c r="AR8" s="30" t="n"/>
      <c r="AS8" s="30" t="n"/>
      <c r="AT8" s="31" t="n"/>
      <c r="AU8" s="31" t="n"/>
      <c r="AV8" s="31" t="n"/>
      <c r="AW8" s="31" t="n"/>
      <c r="AX8" s="31" t="n"/>
      <c r="AY8" s="31" t="n"/>
      <c r="AZ8" s="31" t="n"/>
      <c r="BA8" s="31" t="n"/>
    </row>
    <row r="9" ht="16.5" customHeight="1">
      <c r="A9" s="35" t="inlineStr">
        <is>
          <t>H100 PCIe</t>
        </is>
      </c>
      <c r="B9" t="inlineStr">
        <is>
          <t>NVIDIA</t>
        </is>
      </c>
      <c r="C9" s="32" t="inlineStr">
        <is>
          <t>n5</t>
        </is>
      </c>
      <c r="D9" s="22" t="inlineStr">
        <is>
          <t>TBD</t>
        </is>
      </c>
      <c r="E9" s="32" t="n">
        <v>1.9533</v>
      </c>
      <c r="F9" s="32" t="inlineStr">
        <is>
          <t>HBM3</t>
        </is>
      </c>
      <c r="G9" s="32" t="n"/>
      <c r="H9" s="22">
        <f>6.4*1024/8*5</f>
        <v/>
      </c>
      <c r="I9" s="22" t="inlineStr">
        <is>
          <t>TBD</t>
        </is>
      </c>
      <c r="J9" s="22" t="inlineStr">
        <is>
          <t>TBD</t>
        </is>
      </c>
      <c r="K9" s="22">
        <f>16*5</f>
        <v/>
      </c>
      <c r="L9" s="22" t="n">
        <v>50</v>
      </c>
      <c r="M9" s="22">
        <f>256*N9/1024</f>
        <v/>
      </c>
      <c r="N9" s="22">
        <f>228*N9/1024</f>
        <v/>
      </c>
      <c r="O9" s="22" t="n">
        <v>128</v>
      </c>
      <c r="P9" s="22" t="inlineStr">
        <is>
          <t>无</t>
        </is>
      </c>
      <c r="Q9" s="22" t="inlineStr">
        <is>
          <t>无</t>
        </is>
      </c>
      <c r="R9" s="22" t="n">
        <v>30</v>
      </c>
      <c r="S9" s="22">
        <f>T9*2</f>
        <v/>
      </c>
      <c r="T9" s="22">
        <f>T9*2</f>
        <v/>
      </c>
      <c r="U9" s="22" t="n">
        <v>45</v>
      </c>
      <c r="V9" s="22">
        <f>T9/2</f>
        <v/>
      </c>
      <c r="W9" s="22" t="inlineStr">
        <is>
          <t>无</t>
        </is>
      </c>
      <c r="X9" s="22" t="n">
        <v>1500</v>
      </c>
      <c r="Y9" s="22" t="inlineStr">
        <is>
          <t>无</t>
        </is>
      </c>
      <c r="Z9" s="29" t="inlineStr">
        <is>
          <t>无</t>
        </is>
      </c>
      <c r="AA9" s="22">
        <f>W9</f>
        <v/>
      </c>
      <c r="AB9" s="22" t="n">
        <v>750</v>
      </c>
      <c r="AC9" s="22">
        <f>AA9</f>
        <v/>
      </c>
      <c r="AD9" s="22">
        <f>AB9/2</f>
        <v/>
      </c>
      <c r="AE9" s="22" t="inlineStr">
        <is>
          <t>无</t>
        </is>
      </c>
      <c r="AF9" s="22" t="n">
        <v>45</v>
      </c>
      <c r="AG9" s="22" t="n">
        <v>350</v>
      </c>
      <c r="AH9" s="22" t="n"/>
      <c r="AI9" s="22" t="inlineStr">
        <is>
          <t>TBD</t>
        </is>
      </c>
      <c r="AJ9" s="32" t="n">
        <v>1.069287</v>
      </c>
      <c r="AK9" s="22" t="inlineStr">
        <is>
          <t>TBD</t>
        </is>
      </c>
      <c r="AL9" s="22" t="inlineStr">
        <is>
          <t>TBD</t>
        </is>
      </c>
      <c r="AM9" s="22" t="inlineStr">
        <is>
          <t>TBD</t>
        </is>
      </c>
      <c r="AN9" s="22">
        <f>AA9/G9*1000</f>
        <v/>
      </c>
      <c r="AO9" s="22">
        <f>Y9/G9*1000</f>
        <v/>
      </c>
      <c r="AP9" s="22">
        <f>AA9/R9</f>
        <v/>
      </c>
      <c r="AQ9" s="30">
        <f>Y9/G9*1000</f>
        <v/>
      </c>
      <c r="AR9" s="30" t="n"/>
      <c r="AS9" s="30" t="n"/>
      <c r="AT9" s="36" t="n"/>
      <c r="AU9" s="36" t="n"/>
      <c r="AV9" s="36" t="n"/>
      <c r="AW9" s="36" t="n"/>
      <c r="AX9" s="36" t="n"/>
      <c r="AY9" s="36" t="n"/>
      <c r="AZ9" s="36" t="n"/>
      <c r="BA9" s="36" t="n"/>
    </row>
    <row r="10" ht="16.5" customHeight="1">
      <c r="A10" s="35" t="inlineStr">
        <is>
          <t>H100</t>
        </is>
      </c>
      <c r="B10" t="inlineStr">
        <is>
          <t>NVIDIA</t>
        </is>
      </c>
      <c r="C10" s="32" t="inlineStr">
        <is>
          <t>n5</t>
        </is>
      </c>
      <c r="D10" s="22" t="inlineStr">
        <is>
          <t>TBD</t>
        </is>
      </c>
      <c r="E10" s="32" t="n">
        <v>1.9533</v>
      </c>
      <c r="F10" s="32" t="inlineStr">
        <is>
          <t>HBM3</t>
        </is>
      </c>
      <c r="G10" s="32" t="n"/>
      <c r="H10" s="22">
        <f>6.4*1024/8*5</f>
        <v/>
      </c>
      <c r="I10" s="22" t="inlineStr">
        <is>
          <t>TBD</t>
        </is>
      </c>
      <c r="J10" s="22" t="inlineStr">
        <is>
          <t>TBD</t>
        </is>
      </c>
      <c r="K10" s="22">
        <f>16*5</f>
        <v/>
      </c>
      <c r="L10" s="22" t="n">
        <v>50</v>
      </c>
      <c r="M10" s="22">
        <f>256*N10/1024</f>
        <v/>
      </c>
      <c r="N10" s="22">
        <f>228*N10/1024</f>
        <v/>
      </c>
      <c r="O10" s="22" t="n">
        <v>128</v>
      </c>
      <c r="P10" s="22" t="inlineStr">
        <is>
          <t>无</t>
        </is>
      </c>
      <c r="Q10" s="22" t="inlineStr">
        <is>
          <t>无</t>
        </is>
      </c>
      <c r="R10" s="22" t="n">
        <v>30</v>
      </c>
      <c r="S10" s="22">
        <f>T10*2</f>
        <v/>
      </c>
      <c r="T10" s="22">
        <f>T10*2</f>
        <v/>
      </c>
      <c r="U10" s="22" t="n">
        <v>60</v>
      </c>
      <c r="V10" s="22">
        <f>T10/2</f>
        <v/>
      </c>
      <c r="W10" s="22" t="inlineStr">
        <is>
          <t>无</t>
        </is>
      </c>
      <c r="X10" s="22" t="n">
        <v>2000</v>
      </c>
      <c r="Y10" s="22" t="inlineStr">
        <is>
          <t>无</t>
        </is>
      </c>
      <c r="Z10" s="29" t="inlineStr">
        <is>
          <t>无</t>
        </is>
      </c>
      <c r="AA10" s="22">
        <f>W10</f>
        <v/>
      </c>
      <c r="AB10" s="22" t="n">
        <v>1000</v>
      </c>
      <c r="AC10" s="22">
        <f>AA10</f>
        <v/>
      </c>
      <c r="AD10" s="22">
        <f>AB10/2</f>
        <v/>
      </c>
      <c r="AE10" s="22" t="inlineStr">
        <is>
          <t>无</t>
        </is>
      </c>
      <c r="AF10" s="22" t="n">
        <v>60</v>
      </c>
      <c r="AG10" s="22" t="n">
        <v>700</v>
      </c>
      <c r="AH10" s="22" t="n"/>
      <c r="AI10" s="22" t="n">
        <v>450</v>
      </c>
      <c r="AJ10" s="22" t="n">
        <v>1.1</v>
      </c>
      <c r="AK10" s="22" t="n">
        <v>1.78</v>
      </c>
      <c r="AL10" s="37" t="n">
        <v>96650</v>
      </c>
      <c r="AM10" s="37" t="n">
        <v>155467</v>
      </c>
      <c r="AN10" s="22">
        <f>AA10/G10*1000</f>
        <v/>
      </c>
      <c r="AO10" s="22">
        <f>Y10/G10*1000</f>
        <v/>
      </c>
      <c r="AP10" s="22">
        <f>AA10/R10</f>
        <v/>
      </c>
      <c r="AQ10" s="30">
        <f>Y10/G10*1000</f>
        <v/>
      </c>
      <c r="AR10" s="38" t="n"/>
      <c r="AS10" s="38" t="n"/>
      <c r="AT10" s="36" t="n"/>
      <c r="AU10" s="36" t="n"/>
      <c r="AV10" s="36" t="n"/>
      <c r="AW10" s="36" t="n"/>
      <c r="AX10" s="36" t="n"/>
      <c r="AY10" s="36" t="n"/>
      <c r="AZ10" s="36" t="n"/>
      <c r="BA10" s="36" t="n"/>
    </row>
    <row r="11" ht="16.5" customHeight="1">
      <c r="A11" s="35" t="inlineStr">
        <is>
          <t>B100</t>
        </is>
      </c>
      <c r="B11" t="inlineStr">
        <is>
          <t>NVIDIA</t>
        </is>
      </c>
      <c r="C11" s="32" t="inlineStr">
        <is>
          <t>n4p</t>
        </is>
      </c>
      <c r="D11" s="22" t="inlineStr">
        <is>
          <t>TBD</t>
        </is>
      </c>
      <c r="E11" s="32" t="n">
        <v>1.95</v>
      </c>
      <c r="F11" s="32" t="inlineStr">
        <is>
          <t>HBM3e</t>
        </is>
      </c>
      <c r="G11" s="32" t="n"/>
      <c r="H11" s="22" t="n">
        <v>8000</v>
      </c>
      <c r="I11" s="22" t="inlineStr">
        <is>
          <t>TBD</t>
        </is>
      </c>
      <c r="J11" s="22" t="inlineStr">
        <is>
          <t>TBD</t>
        </is>
      </c>
      <c r="K11" s="22" t="n">
        <v>192</v>
      </c>
      <c r="L11" s="22" t="inlineStr">
        <is>
          <t>TBD</t>
        </is>
      </c>
      <c r="M11" s="22" t="inlineStr">
        <is>
          <t>TBD</t>
        </is>
      </c>
      <c r="N11" s="22" t="inlineStr">
        <is>
          <t>TBD</t>
        </is>
      </c>
      <c r="O11" s="22">
        <f>#REF!/2</f>
        <v/>
      </c>
      <c r="P11" s="22" t="n">
        <v>120</v>
      </c>
      <c r="Q11" s="22" t="n">
        <v>120</v>
      </c>
      <c r="R11" s="22" t="n">
        <v>40</v>
      </c>
      <c r="S11" s="22" t="n">
        <v>120</v>
      </c>
      <c r="T11" s="22" t="n">
        <v>120</v>
      </c>
      <c r="U11" s="22" t="n">
        <v>60</v>
      </c>
      <c r="V11" s="22" t="n">
        <v>30</v>
      </c>
      <c r="W11" s="22" t="inlineStr">
        <is>
          <t>无</t>
        </is>
      </c>
      <c r="X11" s="22" t="n">
        <v>3500</v>
      </c>
      <c r="Y11" s="22" t="inlineStr">
        <is>
          <t>无</t>
        </is>
      </c>
      <c r="Z11" s="22" t="n">
        <v>7000</v>
      </c>
      <c r="AA11" s="22">
        <f>Y11/2</f>
        <v/>
      </c>
      <c r="AB11" s="22">
        <f>Z11/2</f>
        <v/>
      </c>
      <c r="AC11" s="22">
        <f>AA11</f>
        <v/>
      </c>
      <c r="AD11" s="22">
        <f>AB11/2</f>
        <v/>
      </c>
      <c r="AE11" s="22" t="inlineStr">
        <is>
          <t>无</t>
        </is>
      </c>
      <c r="AF11" s="22" t="n">
        <v>30</v>
      </c>
      <c r="AG11" s="22" t="n">
        <v>700</v>
      </c>
      <c r="AH11" s="22" t="n"/>
      <c r="AI11" s="22" t="n">
        <v>900</v>
      </c>
      <c r="AJ11" s="22" t="inlineStr">
        <is>
          <t>TBD</t>
        </is>
      </c>
      <c r="AK11" s="22" t="inlineStr">
        <is>
          <t>TBD</t>
        </is>
      </c>
      <c r="AL11" s="22" t="inlineStr">
        <is>
          <t>TBD</t>
        </is>
      </c>
      <c r="AM11" s="22" t="inlineStr">
        <is>
          <t>TBD</t>
        </is>
      </c>
      <c r="AN11" s="22">
        <f>AA11/G11*1000</f>
        <v/>
      </c>
      <c r="AO11" s="22">
        <f>Y11/G11*1000</f>
        <v/>
      </c>
      <c r="AP11" s="22">
        <f>AA11/R11</f>
        <v/>
      </c>
      <c r="AQ11" s="30">
        <f>Y11/G11*1000</f>
        <v/>
      </c>
      <c r="AR11" s="30" t="n"/>
      <c r="AS11" s="30" t="n"/>
      <c r="AT11" s="36" t="n"/>
      <c r="AU11" s="36" t="n"/>
      <c r="AV11" s="36" t="n"/>
      <c r="AW11" s="36" t="n"/>
      <c r="AX11" s="36" t="n"/>
      <c r="AY11" s="36" t="n"/>
      <c r="AZ11" s="36" t="n"/>
      <c r="BA11" s="36" t="n"/>
    </row>
    <row r="12" ht="16.5" customHeight="1">
      <c r="A12" s="35" t="inlineStr">
        <is>
          <t>GB200</t>
        </is>
      </c>
      <c r="B12" t="inlineStr">
        <is>
          <t>NVIDIA</t>
        </is>
      </c>
      <c r="C12" s="32" t="inlineStr">
        <is>
          <t>n4p</t>
        </is>
      </c>
      <c r="D12" s="22" t="inlineStr">
        <is>
          <t>TBD</t>
        </is>
      </c>
      <c r="E12" s="32" t="n">
        <v>1.95</v>
      </c>
      <c r="F12" s="32" t="inlineStr">
        <is>
          <t>HBM3e</t>
        </is>
      </c>
      <c r="G12" s="32" t="n"/>
      <c r="H12" s="22" t="n">
        <v>8000</v>
      </c>
      <c r="I12" s="22" t="inlineStr">
        <is>
          <t>TBD</t>
        </is>
      </c>
      <c r="J12" s="22" t="inlineStr">
        <is>
          <t>TBD</t>
        </is>
      </c>
      <c r="K12" s="22" t="n">
        <v>192</v>
      </c>
      <c r="L12" s="22" t="inlineStr">
        <is>
          <t>TBD</t>
        </is>
      </c>
      <c r="M12" s="22" t="inlineStr">
        <is>
          <t>TBD</t>
        </is>
      </c>
      <c r="N12" s="22" t="inlineStr">
        <is>
          <t>TBD</t>
        </is>
      </c>
      <c r="O12" s="22" t="n">
        <v>144</v>
      </c>
      <c r="P12" s="22" t="n">
        <v>160</v>
      </c>
      <c r="Q12" s="22" t="n">
        <v>160</v>
      </c>
      <c r="R12" s="22" t="n">
        <v>80</v>
      </c>
      <c r="S12" s="22" t="n">
        <v>160</v>
      </c>
      <c r="T12" s="22" t="n">
        <v>160</v>
      </c>
      <c r="U12" s="22" t="n">
        <v>80</v>
      </c>
      <c r="V12" s="22" t="n">
        <v>40</v>
      </c>
      <c r="W12" s="22" t="inlineStr">
        <is>
          <t>无</t>
        </is>
      </c>
      <c r="X12" s="22" t="n">
        <v>4500</v>
      </c>
      <c r="Y12" s="22" t="inlineStr">
        <is>
          <t>无</t>
        </is>
      </c>
      <c r="Z12" s="22" t="n">
        <v>10000</v>
      </c>
      <c r="AA12" s="22">
        <f>Y12/2</f>
        <v/>
      </c>
      <c r="AB12" s="22">
        <f>Z12/2</f>
        <v/>
      </c>
      <c r="AC12" s="22">
        <f>AA12</f>
        <v/>
      </c>
      <c r="AD12" s="22">
        <f>AB12/2</f>
        <v/>
      </c>
      <c r="AE12" s="22" t="inlineStr">
        <is>
          <t>无</t>
        </is>
      </c>
      <c r="AF12" s="22" t="n">
        <v>40</v>
      </c>
      <c r="AG12" s="22" t="n">
        <v>1000</v>
      </c>
      <c r="AH12" s="22" t="n"/>
      <c r="AI12" s="22" t="n">
        <v>900</v>
      </c>
      <c r="AJ12" s="22" t="inlineStr">
        <is>
          <t>TBD</t>
        </is>
      </c>
      <c r="AK12" s="22" t="inlineStr">
        <is>
          <t>TBD</t>
        </is>
      </c>
      <c r="AL12" s="22" t="inlineStr">
        <is>
          <t>TBD</t>
        </is>
      </c>
      <c r="AM12" s="22" t="inlineStr">
        <is>
          <t>TBD</t>
        </is>
      </c>
      <c r="AN12" s="22">
        <f>AA12/G12*1000</f>
        <v/>
      </c>
      <c r="AO12" s="22">
        <f>Y12/G12*1000</f>
        <v/>
      </c>
      <c r="AP12" s="22">
        <f>AA12/R12</f>
        <v/>
      </c>
      <c r="AQ12" s="30">
        <f>Y12/G12*1000</f>
        <v/>
      </c>
      <c r="AR12" s="30" t="n"/>
      <c r="AS12" s="30" t="n"/>
      <c r="AT12" s="36" t="n"/>
      <c r="AU12" s="36" t="n"/>
      <c r="AV12" s="36" t="n"/>
      <c r="AW12" s="36" t="n"/>
      <c r="AX12" s="36" t="n"/>
      <c r="AY12" s="36" t="n"/>
      <c r="AZ12" s="36" t="n"/>
      <c r="BA12" s="36" t="n"/>
    </row>
    <row r="13" ht="16.5" customHeight="1">
      <c r="A13" s="35" t="inlineStr">
        <is>
          <t>Robin</t>
        </is>
      </c>
      <c r="B13" t="inlineStr">
        <is>
          <t>百度昆仑芯</t>
        </is>
      </c>
      <c r="C13" s="32" t="inlineStr">
        <is>
          <t>n5</t>
        </is>
      </c>
      <c r="D13" s="22" t="n">
        <v>17</v>
      </c>
      <c r="E13" s="32" t="n">
        <v>1.75</v>
      </c>
      <c r="F13" s="32" t="inlineStr">
        <is>
          <t>HBM3e</t>
        </is>
      </c>
      <c r="G13" s="32" t="n"/>
      <c r="H13" s="22">
        <f>8*1024*8/8</f>
        <v/>
      </c>
      <c r="I13" s="22">
        <f>512*D13*N13</f>
        <v/>
      </c>
      <c r="J13" s="22">
        <f>512*D13*N13</f>
        <v/>
      </c>
      <c r="K13" s="22">
        <f>24*8</f>
        <v/>
      </c>
      <c r="L13" s="22" t="n">
        <v>16</v>
      </c>
      <c r="M13" s="22">
        <f>1024*4*N13/1024</f>
        <v/>
      </c>
      <c r="N13" s="22">
        <f>2*N13</f>
        <v/>
      </c>
      <c r="O13" s="22" t="n">
        <v>16</v>
      </c>
      <c r="P13" s="22">
        <f>P13*2</f>
        <v/>
      </c>
      <c r="Q13" s="22">
        <f>Q13*2</f>
        <v/>
      </c>
      <c r="R13" s="22">
        <f>512/4*2*D13*N13*4/1000</f>
        <v/>
      </c>
      <c r="S13" s="22">
        <f>512/2*2*D13*N13*4/1000</f>
        <v/>
      </c>
      <c r="T13" s="22">
        <f>R13</f>
        <v/>
      </c>
      <c r="U13" s="22">
        <f>R13/2</f>
        <v/>
      </c>
      <c r="V13" s="29" t="inlineStr">
        <is>
          <t>无</t>
        </is>
      </c>
      <c r="W13" s="22" t="inlineStr">
        <is>
          <t>无</t>
        </is>
      </c>
      <c r="X13" s="22">
        <f>256*64*2*N13*4*D13/1000</f>
        <v/>
      </c>
      <c r="Y13" s="22" t="inlineStr">
        <is>
          <t>无</t>
        </is>
      </c>
      <c r="Z13" s="22">
        <f>Z13*2</f>
        <v/>
      </c>
      <c r="AA13" s="22">
        <f>W13</f>
        <v/>
      </c>
      <c r="AB13" s="22">
        <f>W13/2</f>
        <v/>
      </c>
      <c r="AC13" s="22">
        <f>AA13</f>
        <v/>
      </c>
      <c r="AD13" s="22">
        <f>AB13/2</f>
        <v/>
      </c>
      <c r="AE13" s="22">
        <f>AC13/4</f>
        <v/>
      </c>
      <c r="AF13" s="29" t="inlineStr">
        <is>
          <t>无</t>
        </is>
      </c>
      <c r="AG13" s="22" t="inlineStr">
        <is>
          <t>TBD</t>
        </is>
      </c>
      <c r="AH13" s="22" t="n"/>
      <c r="AI13" s="22" t="inlineStr">
        <is>
          <t>TBD</t>
        </is>
      </c>
      <c r="AJ13" s="22" t="n">
        <v>1.5</v>
      </c>
      <c r="AK13" s="22" t="inlineStr">
        <is>
          <t>TBD</t>
        </is>
      </c>
      <c r="AL13" s="22" t="inlineStr">
        <is>
          <t>TBD</t>
        </is>
      </c>
      <c r="AM13" s="22" t="inlineStr">
        <is>
          <t>TBD</t>
        </is>
      </c>
      <c r="AN13" s="22">
        <f>AA13/G13*1000</f>
        <v/>
      </c>
      <c r="AO13" s="22">
        <f>Y13/G13*1000</f>
        <v/>
      </c>
      <c r="AP13" s="22">
        <f>AA13/R13</f>
        <v/>
      </c>
      <c r="AQ13" s="30">
        <f>Y13/G13*1000</f>
        <v/>
      </c>
      <c r="AR13" s="30" t="n"/>
      <c r="AS13" s="30" t="n"/>
      <c r="AT13" s="36" t="n"/>
      <c r="AU13" s="36" t="n"/>
      <c r="AV13" s="36" t="n"/>
      <c r="AW13" s="36" t="n"/>
      <c r="AX13" s="36" t="n"/>
      <c r="AY13" s="36" t="n"/>
      <c r="AZ13" s="36" t="n"/>
      <c r="BA13" s="36" t="n"/>
    </row>
    <row r="14" ht="16.5" customHeight="1">
      <c r="A14" s="35" t="inlineStr">
        <is>
          <t>H800</t>
        </is>
      </c>
      <c r="B14" t="inlineStr">
        <is>
          <t>NVIDIA</t>
        </is>
      </c>
      <c r="C14" s="32" t="inlineStr">
        <is>
          <t>n5</t>
        </is>
      </c>
      <c r="D14" s="22" t="inlineStr">
        <is>
          <t>TBD</t>
        </is>
      </c>
      <c r="E14" s="32" t="n">
        <v>1.9533</v>
      </c>
      <c r="F14" s="32" t="inlineStr">
        <is>
          <t>HBM3</t>
        </is>
      </c>
      <c r="G14" s="32" t="n"/>
      <c r="H14" s="22" t="n">
        <v>3350</v>
      </c>
      <c r="I14" s="22" t="inlineStr">
        <is>
          <t>TBD</t>
        </is>
      </c>
      <c r="J14" s="22" t="inlineStr">
        <is>
          <t>TBD</t>
        </is>
      </c>
      <c r="K14" s="22">
        <f>16*5</f>
        <v/>
      </c>
      <c r="L14" s="22" t="n">
        <v>50</v>
      </c>
      <c r="M14" s="22">
        <f>256*N14/1024</f>
        <v/>
      </c>
      <c r="N14" s="22">
        <f>228*N14/1024</f>
        <v/>
      </c>
      <c r="O14" s="22" t="n">
        <v>128</v>
      </c>
      <c r="P14" s="22" t="inlineStr">
        <is>
          <t>无</t>
        </is>
      </c>
      <c r="Q14" s="22" t="inlineStr">
        <is>
          <t>无</t>
        </is>
      </c>
      <c r="R14" s="22" t="n">
        <v>30</v>
      </c>
      <c r="S14" s="22">
        <f>T14*2</f>
        <v/>
      </c>
      <c r="T14" s="22">
        <f>T14*2</f>
        <v/>
      </c>
      <c r="U14" s="22" t="n">
        <v>60</v>
      </c>
      <c r="V14" s="22" t="n">
        <v>1</v>
      </c>
      <c r="W14" s="22" t="inlineStr">
        <is>
          <t>无</t>
        </is>
      </c>
      <c r="X14" s="22">
        <f>3958/2</f>
        <v/>
      </c>
      <c r="Y14" s="22" t="inlineStr">
        <is>
          <t>无</t>
        </is>
      </c>
      <c r="Z14" s="29" t="inlineStr">
        <is>
          <t>无</t>
        </is>
      </c>
      <c r="AA14" s="22">
        <f>W14</f>
        <v/>
      </c>
      <c r="AB14" s="22">
        <f>Z14/2</f>
        <v/>
      </c>
      <c r="AC14" s="22">
        <f>AA14</f>
        <v/>
      </c>
      <c r="AD14" s="22">
        <f>AB14/2</f>
        <v/>
      </c>
      <c r="AE14" s="22" t="inlineStr">
        <is>
          <t>无</t>
        </is>
      </c>
      <c r="AF14" s="22" t="n">
        <v>1</v>
      </c>
      <c r="AG14" s="22" t="n">
        <v>700</v>
      </c>
      <c r="AH14" s="22" t="n"/>
      <c r="AI14" s="22" t="n">
        <v>400</v>
      </c>
      <c r="AJ14" s="22" t="n">
        <v>1.1</v>
      </c>
      <c r="AK14" s="22" t="n">
        <v>1.78</v>
      </c>
      <c r="AL14" s="37" t="n">
        <v>96650</v>
      </c>
      <c r="AM14" s="37" t="n">
        <v>155467</v>
      </c>
      <c r="AN14" s="22">
        <f>AA14/G14*1000</f>
        <v/>
      </c>
      <c r="AO14" s="22">
        <f>Y14/G14*1000</f>
        <v/>
      </c>
      <c r="AP14" s="22">
        <f>AA14/R14</f>
        <v/>
      </c>
      <c r="AQ14" s="30">
        <f>Y14/G14*1000</f>
        <v/>
      </c>
      <c r="AR14" s="38" t="n"/>
      <c r="AS14" s="38" t="n"/>
      <c r="AT14" s="36" t="n"/>
      <c r="AU14" s="36" t="n"/>
      <c r="AV14" s="36" t="n"/>
      <c r="AW14" s="36" t="n"/>
      <c r="AX14" s="36" t="n"/>
      <c r="AY14" s="36" t="n"/>
      <c r="AZ14" s="36" t="n"/>
      <c r="BA14" s="36" t="n"/>
    </row>
    <row r="15" ht="16.5" customHeight="1">
      <c r="A15" s="35" t="inlineStr">
        <is>
          <t>H20</t>
        </is>
      </c>
      <c r="B15" t="inlineStr">
        <is>
          <t>NVIDIA</t>
        </is>
      </c>
      <c r="C15" s="32" t="inlineStr">
        <is>
          <t>n5</t>
        </is>
      </c>
      <c r="D15" s="22" t="inlineStr">
        <is>
          <t>TBD</t>
        </is>
      </c>
      <c r="E15" s="32" t="n">
        <v>1.9533</v>
      </c>
      <c r="F15" s="32" t="inlineStr">
        <is>
          <t>HBM3</t>
        </is>
      </c>
      <c r="G15" s="32" t="n"/>
      <c r="H15" s="22" t="n">
        <v>4096</v>
      </c>
      <c r="I15" s="22" t="inlineStr">
        <is>
          <t>TBD</t>
        </is>
      </c>
      <c r="J15" s="22" t="inlineStr">
        <is>
          <t>TBD</t>
        </is>
      </c>
      <c r="K15" s="22" t="n">
        <v>96</v>
      </c>
      <c r="L15" s="22" t="n">
        <v>60</v>
      </c>
      <c r="M15" s="22">
        <f>256*N15/1024</f>
        <v/>
      </c>
      <c r="N15" s="22">
        <f>228*N15/1024</f>
        <v/>
      </c>
      <c r="O15" s="22" t="n">
        <v>128</v>
      </c>
      <c r="P15" s="22" t="inlineStr">
        <is>
          <t>无</t>
        </is>
      </c>
      <c r="Q15" s="22" t="inlineStr">
        <is>
          <t>无</t>
        </is>
      </c>
      <c r="R15" s="22">
        <f>T15/2</f>
        <v/>
      </c>
      <c r="S15" s="22">
        <f>T15*2</f>
        <v/>
      </c>
      <c r="T15" s="22">
        <f>T15*2</f>
        <v/>
      </c>
      <c r="U15" s="22" t="n">
        <v>40</v>
      </c>
      <c r="V15" s="22" t="n">
        <v>1</v>
      </c>
      <c r="W15" s="22" t="inlineStr">
        <is>
          <t>无</t>
        </is>
      </c>
      <c r="X15" s="22">
        <f>296</f>
        <v/>
      </c>
      <c r="Y15" s="22" t="inlineStr">
        <is>
          <t>无</t>
        </is>
      </c>
      <c r="Z15" s="29" t="inlineStr">
        <is>
          <t>无</t>
        </is>
      </c>
      <c r="AA15" s="22">
        <f>W15</f>
        <v/>
      </c>
      <c r="AB15" s="22">
        <f>Z15/2</f>
        <v/>
      </c>
      <c r="AC15" s="22">
        <f>AA15</f>
        <v/>
      </c>
      <c r="AD15" s="22">
        <f>AB15/2</f>
        <v/>
      </c>
      <c r="AE15" s="22" t="inlineStr">
        <is>
          <t>无</t>
        </is>
      </c>
      <c r="AF15" s="22" t="n">
        <v>1</v>
      </c>
      <c r="AG15" s="22" t="n">
        <v>400</v>
      </c>
      <c r="AH15" s="22" t="n"/>
      <c r="AI15" s="22" t="n">
        <v>450</v>
      </c>
      <c r="AJ15" s="22" t="n">
        <v>1.1</v>
      </c>
      <c r="AK15" s="22" t="n">
        <v>1.78</v>
      </c>
      <c r="AL15" s="37" t="n">
        <v>96650</v>
      </c>
      <c r="AM15" s="37" t="n">
        <v>155467</v>
      </c>
      <c r="AN15" s="22">
        <f>AA15/G15*1000</f>
        <v/>
      </c>
      <c r="AO15" s="22">
        <f>Y15/G15*1000</f>
        <v/>
      </c>
      <c r="AP15" s="22">
        <f>AA15/R15</f>
        <v/>
      </c>
      <c r="AQ15" s="30">
        <f>Y15/G15*1000</f>
        <v/>
      </c>
      <c r="AR15" s="38" t="n"/>
      <c r="AS15" s="38" t="n"/>
      <c r="AT15" s="36" t="n"/>
      <c r="AU15" s="36" t="n"/>
      <c r="AV15" s="36" t="n"/>
      <c r="AW15" s="36" t="n"/>
      <c r="AX15" s="36" t="n"/>
      <c r="AY15" s="36" t="n"/>
      <c r="AZ15" s="36" t="n"/>
      <c r="BA15" s="36" t="n"/>
    </row>
    <row r="16" ht="16.5" customHeight="1">
      <c r="A16" s="35" t="inlineStr">
        <is>
          <t>L20</t>
        </is>
      </c>
      <c r="B16" t="inlineStr">
        <is>
          <t>NVIDIA</t>
        </is>
      </c>
      <c r="C16" s="32" t="inlineStr">
        <is>
          <t>n7</t>
        </is>
      </c>
      <c r="D16" s="22" t="inlineStr">
        <is>
          <t>TBD</t>
        </is>
      </c>
      <c r="E16" s="32" t="inlineStr">
        <is>
          <t>TBD</t>
        </is>
      </c>
      <c r="F16" s="32" t="inlineStr">
        <is>
          <t>GDDR6</t>
        </is>
      </c>
      <c r="G16" s="32" t="n"/>
      <c r="H16" s="22" t="n">
        <v>864</v>
      </c>
      <c r="I16" s="22" t="inlineStr">
        <is>
          <t>TBD</t>
        </is>
      </c>
      <c r="J16" s="22" t="inlineStr">
        <is>
          <t>TBD</t>
        </is>
      </c>
      <c r="K16" s="22" t="n">
        <v>48</v>
      </c>
      <c r="L16" s="22" t="n">
        <v>96</v>
      </c>
      <c r="M16" s="22" t="inlineStr">
        <is>
          <t>TBD</t>
        </is>
      </c>
      <c r="N16" s="22" t="inlineStr">
        <is>
          <t>TBD</t>
        </is>
      </c>
      <c r="O16" s="22" t="inlineStr">
        <is>
          <t>TBD</t>
        </is>
      </c>
      <c r="P16" s="22" t="inlineStr">
        <is>
          <t>无</t>
        </is>
      </c>
      <c r="Q16" s="22" t="inlineStr">
        <is>
          <t>无</t>
        </is>
      </c>
      <c r="R16" s="22">
        <f>T16/2</f>
        <v/>
      </c>
      <c r="S16" s="22">
        <f>T16*2</f>
        <v/>
      </c>
      <c r="T16" s="22">
        <f>T16*2</f>
        <v/>
      </c>
      <c r="U16" s="22" t="n">
        <v>60</v>
      </c>
      <c r="V16" s="22" t="inlineStr">
        <is>
          <t>无</t>
        </is>
      </c>
      <c r="W16" s="22" t="inlineStr">
        <is>
          <t>无</t>
        </is>
      </c>
      <c r="X16" s="22" t="n">
        <v>239</v>
      </c>
      <c r="Y16" s="22">
        <f>W16/2</f>
        <v/>
      </c>
      <c r="Z16" s="29" t="inlineStr">
        <is>
          <t>无</t>
        </is>
      </c>
      <c r="AA16" s="22">
        <f>W16</f>
        <v/>
      </c>
      <c r="AB16" s="22">
        <f>Z16/2</f>
        <v/>
      </c>
      <c r="AC16" s="22">
        <f>AA16</f>
        <v/>
      </c>
      <c r="AD16" s="22">
        <f>AB16/2</f>
        <v/>
      </c>
      <c r="AE16" s="22">
        <f>AC16</f>
        <v/>
      </c>
      <c r="AF16" s="22" t="inlineStr">
        <is>
          <t>TBD</t>
        </is>
      </c>
      <c r="AG16" s="22" t="n">
        <v>275</v>
      </c>
      <c r="AH16" s="22" t="n"/>
      <c r="AI16" s="22" t="inlineStr">
        <is>
          <t>TBD</t>
        </is>
      </c>
      <c r="AJ16" s="22" t="inlineStr">
        <is>
          <t>TBD</t>
        </is>
      </c>
      <c r="AK16" s="22" t="inlineStr">
        <is>
          <t>TBD</t>
        </is>
      </c>
      <c r="AL16" s="22" t="inlineStr">
        <is>
          <t>TBD</t>
        </is>
      </c>
      <c r="AM16" s="22" t="inlineStr">
        <is>
          <t>TBD</t>
        </is>
      </c>
      <c r="AN16" s="22">
        <f>AA16/G16*1000</f>
        <v/>
      </c>
      <c r="AO16" s="22">
        <f>Y16/G16*1000</f>
        <v/>
      </c>
      <c r="AP16" s="22">
        <f>AA16/R16</f>
        <v/>
      </c>
      <c r="AQ16" s="30">
        <f>Y16/G16*1000</f>
        <v/>
      </c>
      <c r="AR16" s="38" t="n"/>
      <c r="AS16" s="38" t="n"/>
      <c r="AT16" s="36" t="n"/>
      <c r="AU16" s="36" t="n"/>
      <c r="AV16" s="36" t="n"/>
      <c r="AW16" s="36" t="n"/>
      <c r="AX16" s="36" t="n"/>
      <c r="AY16" s="36" t="n"/>
      <c r="AZ16" s="36" t="n"/>
      <c r="BA16" s="36" t="n"/>
    </row>
    <row r="17" ht="16.5" customHeight="1">
      <c r="A17" s="35" t="inlineStr">
        <is>
          <t>GB300</t>
        </is>
      </c>
      <c r="B17" t="inlineStr">
        <is>
          <t>NVIDIA</t>
        </is>
      </c>
      <c r="C17" s="32" t="inlineStr">
        <is>
          <t>n4p</t>
        </is>
      </c>
      <c r="D17" s="22" t="inlineStr">
        <is>
          <t>TBD</t>
        </is>
      </c>
      <c r="E17" s="32" t="n">
        <v>1.95</v>
      </c>
      <c r="F17" s="32" t="inlineStr">
        <is>
          <t>HBM3e</t>
        </is>
      </c>
      <c r="G17" s="32" t="n">
        <v>8</v>
      </c>
      <c r="H17" s="22" t="n">
        <v>8000</v>
      </c>
      <c r="I17" s="22" t="inlineStr">
        <is>
          <t>TBD</t>
        </is>
      </c>
      <c r="J17" s="22" t="inlineStr">
        <is>
          <t>TBD</t>
        </is>
      </c>
      <c r="K17" s="22" t="n">
        <v>288</v>
      </c>
      <c r="L17" s="22" t="inlineStr">
        <is>
          <t>TBD</t>
        </is>
      </c>
      <c r="M17" s="22" t="inlineStr">
        <is>
          <t>TBD</t>
        </is>
      </c>
      <c r="N17" s="22" t="inlineStr">
        <is>
          <t>TBD</t>
        </is>
      </c>
      <c r="O17" s="22" t="n">
        <v>144</v>
      </c>
      <c r="P17" s="22" t="n">
        <v>160</v>
      </c>
      <c r="Q17" s="22" t="n">
        <v>160</v>
      </c>
      <c r="R17" s="22" t="n">
        <v>80</v>
      </c>
      <c r="S17" s="22" t="n">
        <v>160</v>
      </c>
      <c r="T17" s="22" t="n">
        <v>160</v>
      </c>
      <c r="U17" s="22" t="n">
        <v>80</v>
      </c>
      <c r="V17" s="22" t="n">
        <v>40</v>
      </c>
      <c r="W17" s="22" t="inlineStr">
        <is>
          <t>无</t>
        </is>
      </c>
      <c r="X17" s="22" t="n">
        <v>4500</v>
      </c>
      <c r="Y17" s="22" t="inlineStr">
        <is>
          <t>无</t>
        </is>
      </c>
      <c r="Z17" s="22" t="n">
        <v>15000</v>
      </c>
      <c r="AA17" s="22">
        <f>Y17/3</f>
        <v/>
      </c>
      <c r="AB17" s="22">
        <f>Z17/2</f>
        <v/>
      </c>
      <c r="AC17" s="22">
        <f>AA17</f>
        <v/>
      </c>
      <c r="AD17" s="22">
        <f>AB17/2</f>
        <v/>
      </c>
      <c r="AE17" s="22" t="inlineStr">
        <is>
          <t>无</t>
        </is>
      </c>
      <c r="AF17" s="22" t="n">
        <v>40</v>
      </c>
      <c r="AG17" s="22" t="n">
        <v>1000</v>
      </c>
      <c r="AH17" s="22" t="n"/>
      <c r="AI17" s="22" t="n">
        <v>900</v>
      </c>
      <c r="AJ17" s="22" t="inlineStr">
        <is>
          <t>TBD</t>
        </is>
      </c>
      <c r="AK17" s="22" t="inlineStr">
        <is>
          <t>TBD</t>
        </is>
      </c>
      <c r="AL17" s="22" t="inlineStr">
        <is>
          <t>TBD</t>
        </is>
      </c>
      <c r="AM17" s="22" t="inlineStr">
        <is>
          <t>TBD</t>
        </is>
      </c>
      <c r="AN17" s="22">
        <f>AA17/G17*1000</f>
        <v/>
      </c>
      <c r="AO17" s="22">
        <f>Y17/G17*1000</f>
        <v/>
      </c>
      <c r="AP17" s="22">
        <f>AA17/R17</f>
        <v/>
      </c>
      <c r="AQ17" s="30">
        <f>Y17/G17*1000</f>
        <v/>
      </c>
      <c r="AR17" s="30" t="n"/>
      <c r="AS17" s="30" t="n"/>
      <c r="AT17" s="36" t="n"/>
      <c r="AU17" s="36" t="n"/>
      <c r="AV17" s="36" t="n"/>
      <c r="AW17" s="36" t="n"/>
      <c r="AX17" s="36" t="n"/>
      <c r="AY17" s="36" t="n"/>
      <c r="AZ17" s="36" t="n"/>
      <c r="BA17" s="36" t="n"/>
    </row>
    <row r="18" ht="16.5" customHeight="1">
      <c r="A18" s="39" t="inlineStr">
        <is>
          <t>R300</t>
        </is>
      </c>
      <c r="B18" t="inlineStr">
        <is>
          <t>NVIDIA</t>
        </is>
      </c>
      <c r="C18" s="40" t="inlineStr">
        <is>
          <t>n3</t>
        </is>
      </c>
      <c r="D18" s="22" t="inlineStr">
        <is>
          <t>TBD</t>
        </is>
      </c>
      <c r="E18" s="40">
        <f>D17*1.11</f>
        <v/>
      </c>
      <c r="F18" s="40" t="inlineStr">
        <is>
          <t>HBM4</t>
        </is>
      </c>
      <c r="G18" s="40" t="n">
        <v>16</v>
      </c>
      <c r="H18" s="30" t="n">
        <v>13000</v>
      </c>
      <c r="I18" s="22" t="inlineStr">
        <is>
          <t>TBD</t>
        </is>
      </c>
      <c r="J18" s="22" t="inlineStr">
        <is>
          <t>TBD</t>
        </is>
      </c>
      <c r="K18" s="30" t="n">
        <v>533</v>
      </c>
      <c r="L18" s="22" t="inlineStr">
        <is>
          <t>TBD</t>
        </is>
      </c>
      <c r="M18" s="22" t="inlineStr">
        <is>
          <t>TBD</t>
        </is>
      </c>
      <c r="N18" s="22" t="inlineStr">
        <is>
          <t>TBD</t>
        </is>
      </c>
      <c r="O18" s="22" t="n">
        <v>216</v>
      </c>
      <c r="P18" s="22" t="n">
        <v>267</v>
      </c>
      <c r="Q18" s="22">
        <f>O18</f>
        <v/>
      </c>
      <c r="R18" s="22">
        <f>P18/2</f>
        <v/>
      </c>
      <c r="S18" s="22">
        <f>P18</f>
        <v/>
      </c>
      <c r="T18" s="22">
        <f>R18</f>
        <v/>
      </c>
      <c r="U18" s="22">
        <f>T17</f>
        <v/>
      </c>
      <c r="V18" s="22">
        <f>U17</f>
        <v/>
      </c>
      <c r="W18" s="22">
        <f>V17</f>
        <v/>
      </c>
      <c r="X18" s="22">
        <f>W17</f>
        <v/>
      </c>
      <c r="Y18" s="22">
        <f>X17</f>
        <v/>
      </c>
      <c r="Z18" s="22" t="n">
        <v>25000</v>
      </c>
      <c r="AA18" s="22" t="n">
        <v>8333</v>
      </c>
      <c r="AB18" s="22">
        <f>Z18/2</f>
        <v/>
      </c>
      <c r="AC18" s="22">
        <f>AA18</f>
        <v/>
      </c>
      <c r="AD18" s="22">
        <f>AB18/2</f>
        <v/>
      </c>
      <c r="AE18" s="22" t="inlineStr">
        <is>
          <t>无</t>
        </is>
      </c>
      <c r="AF18" s="22" t="inlineStr">
        <is>
          <t>TBD</t>
        </is>
      </c>
      <c r="AG18" s="22" t="inlineStr">
        <is>
          <t>TBD</t>
        </is>
      </c>
      <c r="AH18" s="30" t="n"/>
      <c r="AI18" s="30" t="n">
        <v>1800</v>
      </c>
      <c r="AJ18" s="22" t="inlineStr">
        <is>
          <t>TBD</t>
        </is>
      </c>
      <c r="AK18" s="22" t="inlineStr">
        <is>
          <t>TBD</t>
        </is>
      </c>
      <c r="AL18" s="22" t="inlineStr">
        <is>
          <t>TBD</t>
        </is>
      </c>
      <c r="AM18" s="22" t="inlineStr">
        <is>
          <t>TBD</t>
        </is>
      </c>
      <c r="AN18" s="22">
        <f>AA18/G18*1000</f>
        <v/>
      </c>
      <c r="AO18" s="22">
        <f>Y18/G18*1000</f>
        <v/>
      </c>
      <c r="AP18" s="22">
        <f>AA18/R18</f>
        <v/>
      </c>
      <c r="AQ18" s="30">
        <f>Y18/G18*1000</f>
        <v/>
      </c>
      <c r="AR18" s="38" t="n"/>
      <c r="AS18" s="38" t="n"/>
      <c r="AT18" s="36" t="n"/>
      <c r="AU18" s="36" t="n"/>
      <c r="AV18" s="36" t="n"/>
      <c r="AW18" s="36" t="n"/>
      <c r="AX18" s="36" t="n"/>
      <c r="AY18" s="36" t="n"/>
      <c r="AZ18" s="36" t="n"/>
      <c r="BA18" s="36" t="n"/>
    </row>
    <row r="19" ht="16.5" customHeight="1">
      <c r="A19" s="39" t="inlineStr">
        <is>
          <t>MI355</t>
        </is>
      </c>
      <c r="B19" t="inlineStr">
        <is>
          <t>AMD</t>
        </is>
      </c>
      <c r="C19" s="40" t="inlineStr">
        <is>
          <t>n3</t>
        </is>
      </c>
      <c r="D19" s="22" t="inlineStr">
        <is>
          <t>TBD</t>
        </is>
      </c>
      <c r="E19" s="40" t="n">
        <v>2.4</v>
      </c>
      <c r="F19" s="40" t="inlineStr">
        <is>
          <t>HBM4</t>
        </is>
      </c>
      <c r="G19" s="40" t="n">
        <v>8</v>
      </c>
      <c r="H19" s="30" t="n">
        <v>8000</v>
      </c>
      <c r="I19" s="22" t="inlineStr">
        <is>
          <t>TBD</t>
        </is>
      </c>
      <c r="J19" s="22" t="inlineStr">
        <is>
          <t>TBD</t>
        </is>
      </c>
      <c r="K19" s="30" t="n">
        <v>288</v>
      </c>
      <c r="L19" s="30" t="n">
        <v>256</v>
      </c>
      <c r="M19" s="22" t="inlineStr">
        <is>
          <t>TBD</t>
        </is>
      </c>
      <c r="N19" s="22" t="inlineStr">
        <is>
          <t>TBD</t>
        </is>
      </c>
      <c r="O19" s="30" t="n">
        <v>1024</v>
      </c>
      <c r="P19" s="30">
        <f>P19</f>
        <v/>
      </c>
      <c r="Q19" s="30">
        <f>S19</f>
        <v/>
      </c>
      <c r="R19" s="30">
        <f>T19</f>
        <v/>
      </c>
      <c r="S19" s="30">
        <f>S19</f>
        <v/>
      </c>
      <c r="T19" s="30">
        <f>T19*2</f>
        <v/>
      </c>
      <c r="U19" s="30">
        <f>16384*D19*2/1000</f>
        <v/>
      </c>
      <c r="V19" s="30">
        <f>T19/2</f>
        <v/>
      </c>
      <c r="W19" s="30" t="inlineStr">
        <is>
          <t>TBD</t>
        </is>
      </c>
      <c r="X19" s="30" t="inlineStr">
        <is>
          <t>TBD</t>
        </is>
      </c>
      <c r="Y19" s="30" t="inlineStr">
        <is>
          <t>TBD</t>
        </is>
      </c>
      <c r="Z19" s="30" t="n">
        <v>10100</v>
      </c>
      <c r="AA19" s="30" t="n">
        <v>5000</v>
      </c>
      <c r="AB19" s="30" t="n">
        <v>2500</v>
      </c>
      <c r="AC19" s="30" t="inlineStr">
        <is>
          <t>TBD</t>
        </is>
      </c>
      <c r="AD19" s="30" t="inlineStr">
        <is>
          <t>TBD</t>
        </is>
      </c>
      <c r="AE19" s="30" t="n">
        <v>157.3</v>
      </c>
      <c r="AF19" s="30" t="n">
        <v>78.59999999999999</v>
      </c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8" t="n"/>
      <c r="AS19" s="38" t="n"/>
      <c r="AT19" s="36" t="n"/>
      <c r="AU19" s="36" t="n"/>
      <c r="AV19" s="36" t="n"/>
      <c r="AW19" s="36" t="n"/>
      <c r="AX19" s="36" t="n"/>
      <c r="AY19" s="36" t="n"/>
      <c r="AZ19" s="36" t="n"/>
      <c r="BA19" s="36" t="n"/>
    </row>
    <row r="20">
      <c r="A20" s="8" t="inlineStr">
        <is>
          <t>B200</t>
        </is>
      </c>
      <c r="B20" t="inlineStr">
        <is>
          <t>NVIDIA</t>
        </is>
      </c>
      <c r="C20" t="inlineStr">
        <is>
          <t>n4p</t>
        </is>
      </c>
      <c r="D20" s="36">
        <f>C18/C17</f>
        <v/>
      </c>
      <c r="E20" s="41" t="n">
        <v>1.965</v>
      </c>
      <c r="F20" s="36" t="inlineStr">
        <is>
          <t>HBM3e</t>
        </is>
      </c>
      <c r="G20" t="n">
        <v>8</v>
      </c>
      <c r="H20" s="36" t="n">
        <v>8000</v>
      </c>
      <c r="I20" s="36">
        <f>H18/H17</f>
        <v/>
      </c>
      <c r="J20" s="36">
        <f>I18/I17</f>
        <v/>
      </c>
      <c r="K20" s="36" t="n">
        <v>192</v>
      </c>
      <c r="L20" s="36">
        <f>K18/K17</f>
        <v/>
      </c>
      <c r="M20" s="36">
        <f>L18/L17</f>
        <v/>
      </c>
      <c r="N20" s="36">
        <f>M18/M17</f>
        <v/>
      </c>
      <c r="O20" s="36">
        <f>N18/N17</f>
        <v/>
      </c>
      <c r="P20" s="36">
        <f>O18/O17</f>
        <v/>
      </c>
      <c r="Q20" s="36">
        <f>P18/P17</f>
        <v/>
      </c>
      <c r="R20" s="36">
        <f>Q18/Q17</f>
        <v/>
      </c>
      <c r="S20" s="36">
        <f>R18/R17</f>
        <v/>
      </c>
      <c r="T20" s="36">
        <f>S18/S17</f>
        <v/>
      </c>
      <c r="U20" s="36">
        <f>T18/T17</f>
        <v/>
      </c>
      <c r="V20" s="36">
        <f>U18/U17</f>
        <v/>
      </c>
      <c r="W20" s="36">
        <f>V18/V17</f>
        <v/>
      </c>
      <c r="X20" s="36" t="inlineStr">
        <is>
          <t>未公开</t>
        </is>
      </c>
      <c r="Y20" s="36">
        <f>X18/X17</f>
        <v/>
      </c>
      <c r="Z20" s="36" t="n">
        <v>9000</v>
      </c>
      <c r="AA20" s="36" t="n">
        <v>4500</v>
      </c>
      <c r="AB20" s="36" t="n">
        <v>2250</v>
      </c>
      <c r="AC20" s="36" t="n">
        <v>2250</v>
      </c>
      <c r="AD20" s="36">
        <f>AC18/AC17</f>
        <v/>
      </c>
      <c r="AE20" s="36">
        <f>AD18/AD17</f>
        <v/>
      </c>
      <c r="AF20" s="36">
        <f>AE18/AE17</f>
        <v/>
      </c>
      <c r="AG20" s="36" t="n">
        <v>1000</v>
      </c>
      <c r="AH20" s="36" t="n"/>
      <c r="AI20" s="36" t="n">
        <v>1800</v>
      </c>
      <c r="AJ20" s="36">
        <f>AI18/AI17</f>
        <v/>
      </c>
      <c r="AK20" s="36">
        <f>AJ18/AJ17</f>
        <v/>
      </c>
      <c r="AL20" s="36">
        <f>AK18/AK17</f>
        <v/>
      </c>
      <c r="AM20" s="36">
        <f>AL18/AL17</f>
        <v/>
      </c>
      <c r="AN20" s="36">
        <f>AM18/AM17</f>
        <v/>
      </c>
      <c r="AO20" s="36">
        <f>AN18/AN17</f>
        <v/>
      </c>
      <c r="AP20" s="36">
        <f>AO18/AO17</f>
        <v/>
      </c>
      <c r="AQ20" s="36">
        <f>AP18/AP17</f>
        <v/>
      </c>
      <c r="AR20" t="inlineStr">
        <is>
          <t>2024-03 GTC</t>
        </is>
      </c>
      <c r="AS20" t="inlineStr">
        <is>
          <t>2024 Q4</t>
        </is>
      </c>
      <c r="AT20" t="inlineStr">
        <is>
          <t>Blackwell/GB100 双die</t>
        </is>
      </c>
      <c r="AU20" s="20" t="n">
        <v>1530</v>
      </c>
      <c r="AV20" t="n">
        <v>4500</v>
      </c>
      <c r="AW20" t="inlineStr">
        <is>
          <t>NVLink 5</t>
        </is>
      </c>
      <c r="AX20" t="inlineStr">
        <is>
          <t>NVLink Switch</t>
        </is>
      </c>
      <c r="AY20" t="inlineStr">
        <is>
          <t>GB200 NVL72=72卡</t>
        </is>
      </c>
      <c r="AZ20" t="inlineStr">
        <is>
          <t>FP4稠密720P</t>
        </is>
      </c>
      <c r="BA20" t="inlineStr">
        <is>
          <t>训练+推理</t>
        </is>
      </c>
    </row>
    <row r="21">
      <c r="A21" s="8" t="inlineStr">
        <is>
          <t>H200 SXM</t>
        </is>
      </c>
      <c r="B21" t="inlineStr">
        <is>
          <t>NVIDIA</t>
        </is>
      </c>
      <c r="C21" t="inlineStr">
        <is>
          <t>n5</t>
        </is>
      </c>
      <c r="D21" s="36" t="n"/>
      <c r="E21" s="20" t="n">
        <v>1.98</v>
      </c>
      <c r="F21" t="inlineStr">
        <is>
          <t>HBM3e</t>
        </is>
      </c>
      <c r="G21" t="n">
        <v>6</v>
      </c>
      <c r="H21" s="36" t="n">
        <v>4800</v>
      </c>
      <c r="I21" s="36">
        <f>#REF!/#REF!</f>
        <v/>
      </c>
      <c r="J21" s="36">
        <f>Z11/G11</f>
        <v/>
      </c>
      <c r="K21" t="n">
        <v>141</v>
      </c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t="n">
        <v>1979</v>
      </c>
      <c r="Y21" s="36" t="n"/>
      <c r="Z21" t="inlineStr">
        <is>
          <t>不支持</t>
        </is>
      </c>
      <c r="AA21" t="n">
        <v>1979</v>
      </c>
      <c r="AB21" t="n">
        <v>989.5</v>
      </c>
      <c r="AC21" t="n">
        <v>989.5</v>
      </c>
      <c r="AD21" s="36" t="n"/>
      <c r="AE21" s="36" t="n"/>
      <c r="AF21" s="36" t="n"/>
      <c r="AG21" t="n">
        <v>700</v>
      </c>
      <c r="AH21" s="36" t="n"/>
      <c r="AI21" t="n">
        <v>900</v>
      </c>
      <c r="AJ21" s="36" t="n"/>
      <c r="AK21" s="36" t="n"/>
      <c r="AL21" s="36" t="n"/>
      <c r="AM21" s="36" t="n"/>
      <c r="AN21" s="36" t="n"/>
      <c r="AO21" s="36" t="n"/>
      <c r="AP21" s="36" t="n"/>
      <c r="AQ21" s="36">
        <f>625*1.5</f>
        <v/>
      </c>
      <c r="AR21" t="inlineStr">
        <is>
          <t>2023-11 SC23</t>
        </is>
      </c>
      <c r="AS21" t="inlineStr">
        <is>
          <t>2024 Q2</t>
        </is>
      </c>
      <c r="AT21" t="inlineStr">
        <is>
          <t>Hopper/GH100</t>
        </is>
      </c>
      <c r="AU21" s="20" t="n">
        <v>800</v>
      </c>
      <c r="AV21" t="inlineStr">
        <is>
          <t>不支持</t>
        </is>
      </c>
      <c r="AW21" t="inlineStr">
        <is>
          <t>NVLink 4</t>
        </is>
      </c>
      <c r="AX21" t="inlineStr">
        <is>
          <t>NVLink Switch</t>
        </is>
      </c>
      <c r="AY21" t="inlineStr">
        <is>
          <t>HGX 8卡</t>
        </is>
      </c>
      <c r="AZ21" s="36" t="n"/>
      <c r="BA21" t="inlineStr">
        <is>
          <t>训练+推理</t>
        </is>
      </c>
    </row>
    <row r="22">
      <c r="A22" s="8" t="inlineStr">
        <is>
          <t>Gaudi 3</t>
        </is>
      </c>
      <c r="B22" t="inlineStr">
        <is>
          <t>Intel</t>
        </is>
      </c>
      <c r="C22" t="inlineStr">
        <is>
          <t>n5</t>
        </is>
      </c>
      <c r="D22" s="36" t="n"/>
      <c r="E22" s="20" t="n">
        <v>1.75</v>
      </c>
      <c r="F22" t="inlineStr">
        <is>
          <t>HBM2e</t>
        </is>
      </c>
      <c r="G22" t="n">
        <v>8</v>
      </c>
      <c r="H22" s="36" t="n">
        <v>3700</v>
      </c>
      <c r="I22" s="36" t="n"/>
      <c r="J22" s="36">
        <f>I21/G22</f>
        <v/>
      </c>
      <c r="K22" t="n">
        <v>128</v>
      </c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t="inlineStr">
        <is>
          <t>未公开</t>
        </is>
      </c>
      <c r="Y22" s="36" t="n"/>
      <c r="Z22" t="inlineStr">
        <is>
          <t>不支持</t>
        </is>
      </c>
      <c r="AA22" t="n">
        <v>1835</v>
      </c>
      <c r="AB22" t="n">
        <v>459</v>
      </c>
      <c r="AC22" t="n">
        <v>1835</v>
      </c>
      <c r="AD22" s="36" t="n"/>
      <c r="AE22" s="36" t="n"/>
      <c r="AF22" s="36" t="n"/>
      <c r="AG22" t="n">
        <v>900</v>
      </c>
      <c r="AH22" s="36" t="n"/>
      <c r="AI22" t="n">
        <v>1200</v>
      </c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t="inlineStr">
        <is>
          <t>2024-04-09</t>
        </is>
      </c>
      <c r="AS22" t="inlineStr">
        <is>
          <t>2024 Q2-Q4分形态</t>
        </is>
      </c>
      <c r="AT22" t="inlineStr">
        <is>
          <t>Gaudi3 双die</t>
        </is>
      </c>
      <c r="AU22" t="inlineStr">
        <is>
          <t>未公开</t>
        </is>
      </c>
      <c r="AV22" t="inlineStr">
        <is>
          <t>不支持</t>
        </is>
      </c>
      <c r="AW22" t="inlineStr">
        <is>
          <t>24x200GbE RoCE片上</t>
        </is>
      </c>
      <c r="AX22" t="inlineStr">
        <is>
          <t>标准以太网</t>
        </is>
      </c>
      <c r="AY22" t="inlineStr">
        <is>
          <t>8卡OAM</t>
        </is>
      </c>
      <c r="AZ22" s="36" t="n"/>
      <c r="BA22" t="inlineStr">
        <is>
          <t>训练+推理</t>
        </is>
      </c>
    </row>
    <row r="23">
      <c r="A23" s="8" t="inlineStr">
        <is>
          <t>TPU v5e</t>
        </is>
      </c>
      <c r="B23" t="inlineStr">
        <is>
          <t>Google</t>
        </is>
      </c>
      <c r="C23" s="20" t="inlineStr">
        <is>
          <t>n5</t>
        </is>
      </c>
      <c r="D23" s="36" t="n"/>
      <c r="E23" t="inlineStr">
        <is>
          <t>未公开</t>
        </is>
      </c>
      <c r="F23" t="inlineStr">
        <is>
          <t>HBM2e</t>
        </is>
      </c>
      <c r="G23" s="36" t="n"/>
      <c r="H23" s="36" t="n">
        <v>819</v>
      </c>
      <c r="I23" s="36">
        <f>H21/G22</f>
        <v/>
      </c>
      <c r="J23" s="36" t="n"/>
      <c r="K23" t="n">
        <v>16</v>
      </c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t="n">
        <v>393</v>
      </c>
      <c r="Y23" s="36" t="n"/>
      <c r="Z23" t="inlineStr">
        <is>
          <t>不支持</t>
        </is>
      </c>
      <c r="AA23" t="inlineStr">
        <is>
          <t>不支持</t>
        </is>
      </c>
      <c r="AB23" s="36" t="n"/>
      <c r="AC23" t="n">
        <v>197</v>
      </c>
      <c r="AD23" s="36" t="n"/>
      <c r="AE23" s="36" t="n"/>
      <c r="AF23" s="36" t="n"/>
      <c r="AG23" t="inlineStr">
        <is>
          <t>未公开</t>
        </is>
      </c>
      <c r="AH23" s="36" t="n"/>
      <c r="AI23" t="n">
        <v>400</v>
      </c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t="inlineStr">
        <is>
          <t>2023-08-29</t>
        </is>
      </c>
      <c r="AS23" t="inlineStr">
        <is>
          <t>2023-11-09 GA</t>
        </is>
      </c>
      <c r="AT23" t="inlineStr">
        <is>
          <t>TPU v5e</t>
        </is>
      </c>
      <c r="AU23" t="inlineStr">
        <is>
          <t>未公开</t>
        </is>
      </c>
      <c r="AV23" t="inlineStr">
        <is>
          <t>不支持</t>
        </is>
      </c>
      <c r="AW23" t="inlineStr">
        <is>
          <t>ICI 400GB/s</t>
        </is>
      </c>
      <c r="AX23" t="inlineStr">
        <is>
          <t>2D torus 256芯片</t>
        </is>
      </c>
      <c r="AY23" t="inlineStr">
        <is>
          <t>256芯片Pod</t>
        </is>
      </c>
      <c r="AZ23" t="inlineStr">
        <is>
          <t>BF16 50.6P/Pod</t>
        </is>
      </c>
      <c r="BA23" t="inlineStr">
        <is>
          <t>训练+推理(性价比)</t>
        </is>
      </c>
    </row>
    <row r="24">
      <c r="A24" s="8" t="inlineStr">
        <is>
          <t>TPU v5p</t>
        </is>
      </c>
      <c r="B24" t="inlineStr">
        <is>
          <t>Google</t>
        </is>
      </c>
      <c r="C24" s="20" t="inlineStr">
        <is>
          <t>n5级</t>
        </is>
      </c>
      <c r="D24" s="36" t="n"/>
      <c r="E24" t="inlineStr">
        <is>
          <t>未公开</t>
        </is>
      </c>
      <c r="F24" t="inlineStr">
        <is>
          <t>HBM3</t>
        </is>
      </c>
      <c r="G24" s="36" t="n"/>
      <c r="H24" t="n">
        <v>2760</v>
      </c>
      <c r="I24" s="36" t="n"/>
      <c r="J24" s="36" t="n"/>
      <c r="K24" t="n">
        <v>95</v>
      </c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t="inlineStr">
        <is>
          <t>不支持</t>
        </is>
      </c>
      <c r="AA24" t="n">
        <v>459</v>
      </c>
      <c r="AB24" s="36" t="n"/>
      <c r="AC24" t="n">
        <v>459</v>
      </c>
      <c r="AD24" s="36" t="n"/>
      <c r="AE24" s="36" t="n"/>
      <c r="AF24" s="36" t="n"/>
      <c r="AG24" t="inlineStr">
        <is>
          <t>未公开</t>
        </is>
      </c>
      <c r="AH24" s="36" t="n"/>
      <c r="AI24" t="n">
        <v>1200</v>
      </c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t="inlineStr">
        <is>
          <t>2023-12-06</t>
        </is>
      </c>
      <c r="AS24" t="inlineStr">
        <is>
          <t>2024-04-09 GA</t>
        </is>
      </c>
      <c r="AT24" t="inlineStr">
        <is>
          <t>TPU v5p</t>
        </is>
      </c>
      <c r="AU24" t="inlineStr">
        <is>
          <t>未公开</t>
        </is>
      </c>
      <c r="AV24" t="inlineStr">
        <is>
          <t>不支持</t>
        </is>
      </c>
      <c r="AW24" t="inlineStr">
        <is>
          <t>ICI 1.2TB/s</t>
        </is>
      </c>
      <c r="AX24" t="inlineStr">
        <is>
          <t>3D torus</t>
        </is>
      </c>
      <c r="AY24" t="inlineStr">
        <is>
          <t>8960芯片Pod</t>
        </is>
      </c>
      <c r="AZ24" t="inlineStr">
        <is>
          <t>BF16 ~4.05EF/Pod</t>
        </is>
      </c>
      <c r="BA24" t="inlineStr">
        <is>
          <t>训练旗舰</t>
        </is>
      </c>
    </row>
    <row r="25">
      <c r="A25" s="8" t="inlineStr">
        <is>
          <t>TPU v6e Trillium</t>
        </is>
      </c>
      <c r="B25" t="inlineStr">
        <is>
          <t>Google</t>
        </is>
      </c>
      <c r="C25" t="inlineStr">
        <is>
          <t>未公开</t>
        </is>
      </c>
      <c r="D25" s="36" t="n"/>
      <c r="E25" t="inlineStr">
        <is>
          <t>未公开</t>
        </is>
      </c>
      <c r="F25" t="inlineStr">
        <is>
          <t>HBM</t>
        </is>
      </c>
      <c r="G25" s="36" t="n"/>
      <c r="H25" t="n">
        <v>1640</v>
      </c>
      <c r="I25" s="36" t="n"/>
      <c r="J25" s="36" t="n"/>
      <c r="K25" t="n">
        <v>32</v>
      </c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t="n">
        <v>1836</v>
      </c>
      <c r="Y25" s="36" t="n"/>
      <c r="Z25" t="inlineStr">
        <is>
          <t>不支持</t>
        </is>
      </c>
      <c r="AA25" t="inlineStr">
        <is>
          <t>不支持</t>
        </is>
      </c>
      <c r="AB25" s="36" t="n"/>
      <c r="AC25" t="n">
        <v>918</v>
      </c>
      <c r="AD25" s="36" t="n"/>
      <c r="AE25" s="36" t="n"/>
      <c r="AF25" s="36" t="n"/>
      <c r="AG25" t="inlineStr">
        <is>
          <t>未公开</t>
        </is>
      </c>
      <c r="AH25" s="36" t="n"/>
      <c r="AI25" t="n">
        <v>800</v>
      </c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t="inlineStr">
        <is>
          <t>2024-05-14</t>
        </is>
      </c>
      <c r="AS25" t="inlineStr">
        <is>
          <t>2024-12-11 GA</t>
        </is>
      </c>
      <c r="AT25" t="inlineStr">
        <is>
          <t>Trillium</t>
        </is>
      </c>
      <c r="AU25" t="inlineStr">
        <is>
          <t>未公开</t>
        </is>
      </c>
      <c r="AV25" t="inlineStr">
        <is>
          <t>不支持</t>
        </is>
      </c>
      <c r="AW25" t="inlineStr">
        <is>
          <t>ICI 800GB/s</t>
        </is>
      </c>
      <c r="AX25" t="inlineStr">
        <is>
          <t>16x16 2D torus</t>
        </is>
      </c>
      <c r="AY25" t="inlineStr">
        <is>
          <t>256芯片Pod</t>
        </is>
      </c>
      <c r="AZ25" t="inlineStr">
        <is>
          <t>BF16 ~235P/Pod</t>
        </is>
      </c>
      <c r="BA25" t="inlineStr">
        <is>
          <t>训练+推理</t>
        </is>
      </c>
    </row>
    <row r="26">
      <c r="A26" s="8" t="inlineStr">
        <is>
          <t>TPU v7 Ironwood</t>
        </is>
      </c>
      <c r="B26" t="inlineStr">
        <is>
          <t>Google</t>
        </is>
      </c>
      <c r="C26" s="20" t="inlineStr">
        <is>
          <t>n3级</t>
        </is>
      </c>
      <c r="D26" s="36" t="n"/>
      <c r="E26" t="inlineStr">
        <is>
          <t>未公开</t>
        </is>
      </c>
      <c r="F26" t="inlineStr">
        <is>
          <t>HBM3e</t>
        </is>
      </c>
      <c r="G26" t="n">
        <v>8</v>
      </c>
      <c r="H26" t="n">
        <v>7370</v>
      </c>
      <c r="I26" s="36" t="n"/>
      <c r="J26" s="36" t="n"/>
      <c r="K26" t="n">
        <v>192</v>
      </c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t="inlineStr">
        <is>
          <t>不支持</t>
        </is>
      </c>
      <c r="AA26" t="n">
        <v>4614</v>
      </c>
      <c r="AB26" s="36" t="n"/>
      <c r="AC26" t="n">
        <v>2307</v>
      </c>
      <c r="AD26" s="36" t="n"/>
      <c r="AE26" s="36" t="n"/>
      <c r="AF26" s="36" t="n"/>
      <c r="AG26" s="20" t="inlineStr">
        <is>
          <t>~850-1000(推断)</t>
        </is>
      </c>
      <c r="AH26" s="36" t="n"/>
      <c r="AI26" t="n">
        <v>1200</v>
      </c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t="inlineStr">
        <is>
          <t>2025-04-09</t>
        </is>
      </c>
      <c r="AS26" t="inlineStr">
        <is>
          <t>2025-11-06 GA</t>
        </is>
      </c>
      <c r="AT26" t="inlineStr">
        <is>
          <t>Ironwood 双die chiplet</t>
        </is>
      </c>
      <c r="AU26" t="inlineStr">
        <is>
          <t>未公开</t>
        </is>
      </c>
      <c r="AV26" t="inlineStr">
        <is>
          <t>不支持</t>
        </is>
      </c>
      <c r="AW26" t="inlineStr">
        <is>
          <t>ICI 1.2TB/s</t>
        </is>
      </c>
      <c r="AX26" t="inlineStr">
        <is>
          <t>3D torus+OCS光交换</t>
        </is>
      </c>
      <c r="AY26" t="inlineStr">
        <is>
          <t>9216芯片Pod</t>
        </is>
      </c>
      <c r="AZ26" t="inlineStr">
        <is>
          <t>FP8 42.5EF/Pod</t>
        </is>
      </c>
      <c r="BA26" t="inlineStr">
        <is>
          <t>推理向(训推均支持)</t>
        </is>
      </c>
    </row>
    <row r="27">
      <c r="A27" s="8" t="inlineStr">
        <is>
          <t>TPU 8t</t>
        </is>
      </c>
      <c r="B27" t="inlineStr">
        <is>
          <t>Google</t>
        </is>
      </c>
      <c r="C27" s="20" t="inlineStr">
        <is>
          <t>n2目标</t>
        </is>
      </c>
      <c r="D27" s="36" t="n"/>
      <c r="E27" t="inlineStr">
        <is>
          <t>未公开</t>
        </is>
      </c>
      <c r="F27" t="inlineStr">
        <is>
          <t>HBM3e</t>
        </is>
      </c>
      <c r="G27" s="36" t="n"/>
      <c r="H27" t="n">
        <v>6500</v>
      </c>
      <c r="I27" s="36" t="n"/>
      <c r="J27" s="36" t="n"/>
      <c r="K27" t="n">
        <v>216</v>
      </c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20" t="n">
        <v>12600</v>
      </c>
      <c r="AA27" s="36" t="n"/>
      <c r="AB27" s="36" t="n"/>
      <c r="AC27" s="36" t="n"/>
      <c r="AD27" s="36" t="n"/>
      <c r="AE27" s="36" t="n"/>
      <c r="AF27" s="36" t="n"/>
      <c r="AG27" t="inlineStr">
        <is>
          <t>未公开</t>
        </is>
      </c>
      <c r="AH27" s="36" t="n"/>
      <c r="AI27" t="n">
        <v>2400</v>
      </c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t="inlineStr">
        <is>
          <t>2026-04-22</t>
        </is>
      </c>
      <c r="AS27" t="inlineStr">
        <is>
          <t>2027底上市</t>
        </is>
      </c>
      <c r="AT27" t="inlineStr">
        <is>
          <t>Sunfish Broadcom合研</t>
        </is>
      </c>
      <c r="AU27" t="inlineStr">
        <is>
          <t>未公开</t>
        </is>
      </c>
      <c r="AV27" s="36" t="n"/>
      <c r="AW27" t="inlineStr">
        <is>
          <t>ICI 19.2Tbps</t>
        </is>
      </c>
      <c r="AX27" t="inlineStr">
        <is>
          <t>3D torus+Virgo</t>
        </is>
      </c>
      <c r="AY27" t="inlineStr">
        <is>
          <t>9600芯片Superpod</t>
        </is>
      </c>
      <c r="AZ27" t="inlineStr">
        <is>
          <t>FP4 ~121EF</t>
        </is>
      </c>
      <c r="BA27" t="inlineStr">
        <is>
          <t>训练专用</t>
        </is>
      </c>
    </row>
    <row r="28">
      <c r="A28" s="8" t="inlineStr">
        <is>
          <t>TPU 8i</t>
        </is>
      </c>
      <c r="B28" t="inlineStr">
        <is>
          <t>Google</t>
        </is>
      </c>
      <c r="C28" s="20" t="inlineStr">
        <is>
          <t>n2目标</t>
        </is>
      </c>
      <c r="D28" s="36" t="n"/>
      <c r="E28" t="inlineStr">
        <is>
          <t>未公开</t>
        </is>
      </c>
      <c r="F28" t="inlineStr">
        <is>
          <t>HBM</t>
        </is>
      </c>
      <c r="G28" s="36" t="n"/>
      <c r="H28" t="n">
        <v>8600</v>
      </c>
      <c r="I28" s="36" t="n"/>
      <c r="J28" s="36" t="n"/>
      <c r="K28" t="n">
        <v>288</v>
      </c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20" t="n">
        <v>10100</v>
      </c>
      <c r="AA28" s="36" t="n"/>
      <c r="AB28" s="36" t="n"/>
      <c r="AC28" s="36" t="n"/>
      <c r="AD28" s="36" t="n"/>
      <c r="AE28" s="36" t="n"/>
      <c r="AF28" s="36" t="n"/>
      <c r="AG28" t="inlineStr">
        <is>
          <t>未公开</t>
        </is>
      </c>
      <c r="AH28" s="36" t="n"/>
      <c r="AI28" t="n">
        <v>50</v>
      </c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t="inlineStr">
        <is>
          <t>2026-04-22</t>
        </is>
      </c>
      <c r="AS28" t="inlineStr">
        <is>
          <t>2027底上市</t>
        </is>
      </c>
      <c r="AT28" t="inlineStr">
        <is>
          <t>Zebrafish MediaTek合研</t>
        </is>
      </c>
      <c r="AU28" t="inlineStr">
        <is>
          <t>未公开</t>
        </is>
      </c>
      <c r="AV28" s="36" t="n"/>
      <c r="AW28" t="inlineStr">
        <is>
          <t>Boardfly拓扑</t>
        </is>
      </c>
      <c r="AX28" t="inlineStr">
        <is>
          <t>400Gbps/芯片</t>
        </is>
      </c>
      <c r="AY28" t="inlineStr">
        <is>
          <t>1152芯片推理Pod</t>
        </is>
      </c>
      <c r="AZ28" s="36" t="n"/>
      <c r="BA28" t="inlineStr">
        <is>
          <t>推理专用</t>
        </is>
      </c>
    </row>
    <row r="29">
      <c r="A29" s="8" t="inlineStr">
        <is>
          <t>Trainium 2</t>
        </is>
      </c>
      <c r="B29" t="inlineStr">
        <is>
          <t>AWS</t>
        </is>
      </c>
      <c r="C29" s="20" t="inlineStr">
        <is>
          <t>n5</t>
        </is>
      </c>
      <c r="D29" s="36" t="n"/>
      <c r="E29" t="inlineStr">
        <is>
          <t>未公开</t>
        </is>
      </c>
      <c r="F29" t="inlineStr">
        <is>
          <t>HBM3</t>
        </is>
      </c>
      <c r="G29" s="36" t="n"/>
      <c r="H29" t="n">
        <v>2900</v>
      </c>
      <c r="I29" s="36" t="n"/>
      <c r="J29" s="36" t="n"/>
      <c r="K29" t="n">
        <v>96</v>
      </c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t="inlineStr">
        <is>
          <t>不支持</t>
        </is>
      </c>
      <c r="AA29" t="n">
        <v>1299</v>
      </c>
      <c r="AB29" s="36" t="n"/>
      <c r="AC29" t="n">
        <v>667</v>
      </c>
      <c r="AD29" s="36" t="n"/>
      <c r="AE29" s="36" t="n"/>
      <c r="AF29" s="36" t="n"/>
      <c r="AG29" t="inlineStr">
        <is>
          <t>未公开</t>
        </is>
      </c>
      <c r="AH29" s="36" t="n"/>
      <c r="AI29" t="n">
        <v>1280</v>
      </c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t="inlineStr">
        <is>
          <t>2024-12-03 GA</t>
        </is>
      </c>
      <c r="AS29" t="inlineStr">
        <is>
          <t>2024-12 GA</t>
        </is>
      </c>
      <c r="AT29" t="inlineStr">
        <is>
          <t>Trainium2 双chiplet</t>
        </is>
      </c>
      <c r="AU29" t="inlineStr">
        <is>
          <t>未公开</t>
        </is>
      </c>
      <c r="AV29" t="inlineStr">
        <is>
          <t>不支持</t>
        </is>
      </c>
      <c r="AW29" t="inlineStr">
        <is>
          <t>NeuronLink v3</t>
        </is>
      </c>
      <c r="AX29" t="inlineStr">
        <is>
          <t>EFA</t>
        </is>
      </c>
      <c r="AY29" t="inlineStr">
        <is>
          <t>UltraServer 64芯片</t>
        </is>
      </c>
      <c r="AZ29" t="inlineStr">
        <is>
          <t>FP8 83.2P</t>
        </is>
      </c>
      <c r="BA29" t="inlineStr">
        <is>
          <t>训练为主兼推理</t>
        </is>
      </c>
    </row>
    <row r="30">
      <c r="A30" s="8" t="inlineStr">
        <is>
          <t>Trainium 3</t>
        </is>
      </c>
      <c r="B30" t="inlineStr">
        <is>
          <t>AWS</t>
        </is>
      </c>
      <c r="C30" s="20" t="inlineStr">
        <is>
          <t>n3</t>
        </is>
      </c>
      <c r="D30" s="36" t="n"/>
      <c r="E30" t="inlineStr">
        <is>
          <t>未公开</t>
        </is>
      </c>
      <c r="F30" t="inlineStr">
        <is>
          <t>HBM3e</t>
        </is>
      </c>
      <c r="G30" s="36" t="n"/>
      <c r="H30" t="n">
        <v>4900</v>
      </c>
      <c r="I30" s="36" t="n"/>
      <c r="J30" s="36" t="n"/>
      <c r="K30" t="n">
        <v>144</v>
      </c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t="n">
        <v>2517</v>
      </c>
      <c r="AA30" t="n">
        <v>2517</v>
      </c>
      <c r="AB30" s="36" t="n"/>
      <c r="AC30" t="n">
        <v>671</v>
      </c>
      <c r="AD30" s="36" t="n"/>
      <c r="AE30" s="36" t="n"/>
      <c r="AF30" s="36" t="n"/>
      <c r="AG30" t="inlineStr">
        <is>
          <t>未公开</t>
        </is>
      </c>
      <c r="AH30" s="36" t="n"/>
      <c r="AI30" t="n">
        <v>2560</v>
      </c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t="inlineStr">
        <is>
          <t>2025-12-02 GA</t>
        </is>
      </c>
      <c r="AS30" t="inlineStr">
        <is>
          <t>2025-12-02 GA</t>
        </is>
      </c>
      <c r="AT30" t="inlineStr">
        <is>
          <t>Trainium3</t>
        </is>
      </c>
      <c r="AU30" t="inlineStr">
        <is>
          <t>未公开</t>
        </is>
      </c>
      <c r="AV30" t="n">
        <v>2517</v>
      </c>
      <c r="AW30" t="inlineStr">
        <is>
          <t>NeuronLink v4+NeuronSwitch</t>
        </is>
      </c>
      <c r="AX30" t="inlineStr">
        <is>
          <t>EFA 28.8Tbps</t>
        </is>
      </c>
      <c r="AY30" t="inlineStr">
        <is>
          <t>UltraServer 144芯片</t>
        </is>
      </c>
      <c r="AZ30" t="inlineStr">
        <is>
          <t>FP8 362P</t>
        </is>
      </c>
      <c r="BA30" t="inlineStr">
        <is>
          <t>训练+推理</t>
        </is>
      </c>
    </row>
    <row r="31">
      <c r="A31" s="8" t="inlineStr">
        <is>
          <t>昇腾910B</t>
        </is>
      </c>
      <c r="B31" t="inlineStr">
        <is>
          <t>华为</t>
        </is>
      </c>
      <c r="C31" s="20" t="inlineStr">
        <is>
          <t>n7级(SMIC N+1)</t>
        </is>
      </c>
      <c r="D31" s="36" t="n"/>
      <c r="E31" t="inlineStr">
        <is>
          <t>未公开</t>
        </is>
      </c>
      <c r="F31" t="inlineStr">
        <is>
          <t>HBM2e</t>
        </is>
      </c>
      <c r="G31" s="36" t="n"/>
      <c r="H31" s="20" t="n">
        <v>800</v>
      </c>
      <c r="I31" s="36" t="n"/>
      <c r="J31" s="36" t="n"/>
      <c r="K31" t="n">
        <v>64</v>
      </c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20" t="n">
        <v>560</v>
      </c>
      <c r="Y31" s="36" t="n"/>
      <c r="Z31" t="inlineStr">
        <is>
          <t>不支持</t>
        </is>
      </c>
      <c r="AA31" t="inlineStr">
        <is>
          <t>不支持</t>
        </is>
      </c>
      <c r="AB31" s="20" t="n">
        <v>320</v>
      </c>
      <c r="AC31" s="20" t="n">
        <v>320</v>
      </c>
      <c r="AD31" s="36" t="n"/>
      <c r="AE31" s="36" t="n"/>
      <c r="AF31" s="36" t="n"/>
      <c r="AG31" s="20" t="n">
        <v>310</v>
      </c>
      <c r="AH31" s="36" t="n"/>
      <c r="AI31" t="inlineStr">
        <is>
          <t>未公开</t>
        </is>
      </c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t="inlineStr">
        <is>
          <t>2023起供货</t>
        </is>
      </c>
      <c r="AS31" t="inlineStr">
        <is>
          <t>2023起规模供货</t>
        </is>
      </c>
      <c r="AT31" t="inlineStr">
        <is>
          <t>Ascend 910B</t>
        </is>
      </c>
      <c r="AU31" t="inlineStr">
        <is>
          <t>未公开</t>
        </is>
      </c>
      <c r="AV31" t="inlineStr">
        <is>
          <t>不支持</t>
        </is>
      </c>
      <c r="AW31" t="inlineStr">
        <is>
          <t>HCCS</t>
        </is>
      </c>
      <c r="AX31" t="inlineStr">
        <is>
          <t>未公开</t>
        </is>
      </c>
      <c r="AY31" s="36" t="n"/>
      <c r="AZ31" s="36" t="n"/>
      <c r="BA31" t="inlineStr">
        <is>
          <t>训练+推理</t>
        </is>
      </c>
    </row>
    <row r="32">
      <c r="A32" s="8" t="inlineStr">
        <is>
          <t>昇腾910C</t>
        </is>
      </c>
      <c r="B32" t="inlineStr">
        <is>
          <t>华为</t>
        </is>
      </c>
      <c r="C32" s="20" t="inlineStr">
        <is>
          <t>n7级</t>
        </is>
      </c>
      <c r="D32" s="36" t="n"/>
      <c r="E32" t="inlineStr">
        <is>
          <t>未公开</t>
        </is>
      </c>
      <c r="F32" t="inlineStr">
        <is>
          <t>HBM2e</t>
        </is>
      </c>
      <c r="G32" s="36" t="n"/>
      <c r="H32" s="20" t="n">
        <v>3200</v>
      </c>
      <c r="I32" s="36" t="n"/>
      <c r="J32" s="36" t="n"/>
      <c r="K32" t="n">
        <v>128</v>
      </c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t="inlineStr">
        <is>
          <t>未公开</t>
        </is>
      </c>
      <c r="Y32" s="36" t="n"/>
      <c r="Z32" t="inlineStr">
        <is>
          <t>不支持</t>
        </is>
      </c>
      <c r="AA32" t="inlineStr">
        <is>
          <t>不支持</t>
        </is>
      </c>
      <c r="AB32" s="20" t="n">
        <v>790</v>
      </c>
      <c r="AC32" s="20" t="n">
        <v>790</v>
      </c>
      <c r="AD32" s="36" t="n"/>
      <c r="AE32" s="36" t="n"/>
      <c r="AF32" s="36" t="n"/>
      <c r="AG32" s="20" t="n">
        <v>330</v>
      </c>
      <c r="AH32" s="36" t="n"/>
      <c r="AI32" s="20" t="n">
        <v>466</v>
      </c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t="inlineStr">
        <is>
          <t>2025随CM384亮相</t>
        </is>
      </c>
      <c r="AS32" t="inlineStr">
        <is>
          <t>2025 H1规模出货</t>
        </is>
      </c>
      <c r="AT32" t="inlineStr">
        <is>
          <t>910C 双die</t>
        </is>
      </c>
      <c r="AU32" t="inlineStr">
        <is>
          <t>未公开</t>
        </is>
      </c>
      <c r="AV32" t="inlineStr">
        <is>
          <t>不支持</t>
        </is>
      </c>
      <c r="AW32" t="inlineStr">
        <is>
          <t>HCCS</t>
        </is>
      </c>
      <c r="AX32" s="36" t="n"/>
      <c r="AY32" t="inlineStr">
        <is>
          <t>CloudMatrix 384</t>
        </is>
      </c>
      <c r="AZ32" t="inlineStr">
        <is>
          <t>FP16 ~300P/系统</t>
        </is>
      </c>
      <c r="BA32" t="inlineStr">
        <is>
          <t>训练为主</t>
        </is>
      </c>
    </row>
    <row r="33">
      <c r="A33" s="8" t="inlineStr">
        <is>
          <t>昇腾950PR</t>
        </is>
      </c>
      <c r="B33" t="inlineStr">
        <is>
          <t>华为</t>
        </is>
      </c>
      <c r="C33" s="20" t="inlineStr">
        <is>
          <t>SMIC N+2(推断)</t>
        </is>
      </c>
      <c r="D33" s="36" t="n"/>
      <c r="E33" t="inlineStr">
        <is>
          <t>未公开</t>
        </is>
      </c>
      <c r="F33" t="inlineStr">
        <is>
          <t>HiBL 1.0自研HBM</t>
        </is>
      </c>
      <c r="G33" s="36" t="n"/>
      <c r="H33" s="20" t="n">
        <v>1500</v>
      </c>
      <c r="I33" s="36" t="n"/>
      <c r="J33" s="36" t="n"/>
      <c r="K33" t="n">
        <v>128</v>
      </c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t="inlineStr">
        <is>
          <t>未公开</t>
        </is>
      </c>
      <c r="Y33" s="36" t="n"/>
      <c r="Z33" s="20" t="n">
        <v>2000</v>
      </c>
      <c r="AA33" s="20" t="n">
        <v>919</v>
      </c>
      <c r="AB33" t="n">
        <v>486</v>
      </c>
      <c r="AC33" t="n">
        <v>486</v>
      </c>
      <c r="AD33" s="36" t="n"/>
      <c r="AE33" s="36" t="n"/>
      <c r="AF33" s="36" t="n"/>
      <c r="AG33" s="20" t="n">
        <v>600</v>
      </c>
      <c r="AH33" s="36" t="n"/>
      <c r="AI33" t="n">
        <v>2000</v>
      </c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t="inlineStr">
        <is>
          <t>2025-09-18全联接</t>
        </is>
      </c>
      <c r="AS33" t="inlineStr">
        <is>
          <t>2026-03-21随Atlas350</t>
        </is>
      </c>
      <c r="AT33" t="inlineStr">
        <is>
          <t>Ascend 950PR</t>
        </is>
      </c>
      <c r="AU33" t="inlineStr">
        <is>
          <t>未公开</t>
        </is>
      </c>
      <c r="AV33" s="36" t="n"/>
      <c r="AW33" t="inlineStr">
        <is>
          <t>HCCS 2TB/s</t>
        </is>
      </c>
      <c r="AX33" s="36" t="n"/>
      <c r="AY33" t="inlineStr">
        <is>
          <t>Atlas 950 SuperPoD</t>
        </is>
      </c>
      <c r="AZ33" t="inlineStr">
        <is>
          <t>8192卡 FP8 8EF</t>
        </is>
      </c>
      <c r="BA33" t="inlineStr">
        <is>
          <t>推理Prefill</t>
        </is>
      </c>
    </row>
    <row r="34">
      <c r="A34" s="8" t="inlineStr">
        <is>
          <t>昇腾950DT</t>
        </is>
      </c>
      <c r="B34" t="inlineStr">
        <is>
          <t>华为</t>
        </is>
      </c>
      <c r="C34" s="20" t="inlineStr">
        <is>
          <t>SMIC N+2(推断)</t>
        </is>
      </c>
      <c r="D34" s="36" t="n"/>
      <c r="E34" t="inlineStr">
        <is>
          <t>未公开</t>
        </is>
      </c>
      <c r="F34" t="inlineStr">
        <is>
          <t>HiZQ 2.0自研HBM</t>
        </is>
      </c>
      <c r="G34" s="36" t="n"/>
      <c r="H34" t="n">
        <v>4000</v>
      </c>
      <c r="I34" s="36" t="n"/>
      <c r="J34" s="36" t="n"/>
      <c r="K34" t="n">
        <v>144</v>
      </c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t="inlineStr">
        <is>
          <t>未公开</t>
        </is>
      </c>
      <c r="Y34" s="36" t="n"/>
      <c r="Z34" s="20" t="n">
        <v>2007</v>
      </c>
      <c r="AA34" s="20" t="n">
        <v>1034</v>
      </c>
      <c r="AB34" t="n">
        <v>547</v>
      </c>
      <c r="AC34" t="n">
        <v>547</v>
      </c>
      <c r="AD34" s="36" t="n"/>
      <c r="AE34" s="36" t="n"/>
      <c r="AF34" s="36" t="n"/>
      <c r="AG34" s="20" t="n">
        <v>500</v>
      </c>
      <c r="AH34" s="36" t="n"/>
      <c r="AI34" t="n">
        <v>2000</v>
      </c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t="inlineStr">
        <is>
          <t>2025-09-18全联接</t>
        </is>
      </c>
      <c r="AS34" t="inlineStr">
        <is>
          <t>2026-08提前上线华为云</t>
        </is>
      </c>
      <c r="AT34" t="inlineStr">
        <is>
          <t>Ascend 950DT</t>
        </is>
      </c>
      <c r="AU34" t="inlineStr">
        <is>
          <t>未公开</t>
        </is>
      </c>
      <c r="AV34" s="36" t="n"/>
      <c r="AW34" t="inlineStr">
        <is>
          <t>HCCS 2TB/s</t>
        </is>
      </c>
      <c r="AX34" s="36" t="n"/>
      <c r="AY34" t="inlineStr">
        <is>
          <t>Atlas 950 SuperPoD</t>
        </is>
      </c>
      <c r="AZ34" s="36" t="n"/>
      <c r="BA34" t="inlineStr">
        <is>
          <t>推理Decode+训练</t>
        </is>
      </c>
    </row>
    <row r="35">
      <c r="A35" s="8" t="inlineStr">
        <is>
          <t>昇腾960DT</t>
        </is>
      </c>
      <c r="B35" t="inlineStr">
        <is>
          <t>华为</t>
        </is>
      </c>
      <c r="C35" t="inlineStr">
        <is>
          <t>未公开</t>
        </is>
      </c>
      <c r="D35" s="36" t="n"/>
      <c r="E35" t="inlineStr">
        <is>
          <t>未公开</t>
        </is>
      </c>
      <c r="F35" s="20" t="inlineStr">
        <is>
          <t>疑HBM3e级(未明)</t>
        </is>
      </c>
      <c r="G35" s="36" t="n"/>
      <c r="H35" s="20" t="n">
        <v>9600</v>
      </c>
      <c r="I35" s="36" t="n"/>
      <c r="J35" s="36" t="n"/>
      <c r="K35" s="20" t="n">
        <v>288</v>
      </c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t="inlineStr">
        <is>
          <t>未公开</t>
        </is>
      </c>
      <c r="Y35" s="36" t="n"/>
      <c r="Z35" s="20" t="n">
        <v>4000</v>
      </c>
      <c r="AA35" s="20" t="n">
        <v>2000</v>
      </c>
      <c r="AB35" t="inlineStr">
        <is>
          <t>未公开</t>
        </is>
      </c>
      <c r="AC35" t="inlineStr">
        <is>
          <t>未公开</t>
        </is>
      </c>
      <c r="AD35" s="36" t="n"/>
      <c r="AE35" s="36" t="n"/>
      <c r="AF35" s="36" t="n"/>
      <c r="AG35" s="20" t="inlineStr">
        <is>
          <t>未公开(风冷可承)</t>
        </is>
      </c>
      <c r="AH35" s="36" t="n"/>
      <c r="AI35" s="20" t="n">
        <v>2200</v>
      </c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t="inlineStr">
        <is>
          <t>2026-09-17全联接</t>
        </is>
      </c>
      <c r="AS35" t="inlineStr">
        <is>
          <t>官方2027 Q1就绪</t>
        </is>
      </c>
      <c r="AT35" t="inlineStr">
        <is>
          <t>Ascend 960DT</t>
        </is>
      </c>
      <c r="AU35" t="inlineStr">
        <is>
          <t>未公开</t>
        </is>
      </c>
      <c r="AV35" s="36" t="n"/>
      <c r="AW35" t="inlineStr">
        <is>
          <t>灵衢UnifiedBus</t>
        </is>
      </c>
      <c r="AX35" t="inlineStr">
        <is>
          <t>NPO光引擎</t>
        </is>
      </c>
      <c r="AY35" t="inlineStr">
        <is>
          <t>960超节点4096卡</t>
        </is>
      </c>
      <c r="AZ35" t="inlineStr">
        <is>
          <t>FP8 8EF/FP4 16EF</t>
        </is>
      </c>
      <c r="BA35" t="inlineStr">
        <is>
          <t>训练向</t>
        </is>
      </c>
    </row>
    <row r="36">
      <c r="A36" s="8" t="inlineStr">
        <is>
          <t>昇腾960PR</t>
        </is>
      </c>
      <c r="B36" t="inlineStr">
        <is>
          <t>华为</t>
        </is>
      </c>
      <c r="C36" t="inlineStr">
        <is>
          <t>未公开</t>
        </is>
      </c>
      <c r="D36" s="36" t="n"/>
      <c r="E36" t="inlineStr">
        <is>
          <t>未公开</t>
        </is>
      </c>
      <c r="F36" t="inlineStr">
        <is>
          <t>未披露</t>
        </is>
      </c>
      <c r="G36" s="36" t="n"/>
      <c r="H36" t="inlineStr">
        <is>
          <t>未披露</t>
        </is>
      </c>
      <c r="I36" s="36" t="n"/>
      <c r="J36" s="36" t="n"/>
      <c r="K36" t="inlineStr">
        <is>
          <t>未披露</t>
        </is>
      </c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t="inlineStr">
        <is>
          <t>未公开</t>
        </is>
      </c>
      <c r="Y36" s="36" t="n"/>
      <c r="Z36" s="20" t="n">
        <v>8000</v>
      </c>
      <c r="AA36" s="20" t="n">
        <v>2000</v>
      </c>
      <c r="AB36" t="inlineStr">
        <is>
          <t>未公开</t>
        </is>
      </c>
      <c r="AC36" t="inlineStr">
        <is>
          <t>未公开</t>
        </is>
      </c>
      <c r="AD36" s="36" t="n"/>
      <c r="AE36" s="36" t="n"/>
      <c r="AF36" s="36" t="n"/>
      <c r="AG36" s="20" t="inlineStr">
        <is>
          <t>未公开(液冷)</t>
        </is>
      </c>
      <c r="AH36" s="36" t="n"/>
      <c r="AI36" t="inlineStr">
        <is>
          <t>未披露</t>
        </is>
      </c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t="inlineStr">
        <is>
          <t>2026-09-17全联接</t>
        </is>
      </c>
      <c r="AS36" t="inlineStr">
        <is>
          <t>官方2027 Q3就绪</t>
        </is>
      </c>
      <c r="AT36" t="inlineStr">
        <is>
          <t>Ascend 960PR</t>
        </is>
      </c>
      <c r="AU36" t="inlineStr">
        <is>
          <t>未公开</t>
        </is>
      </c>
      <c r="AV36" s="36" t="n"/>
      <c r="AW36" t="inlineStr">
        <is>
          <t>灵衢UnifiedBus</t>
        </is>
      </c>
      <c r="AX36" s="36" t="n"/>
      <c r="AY36" t="inlineStr">
        <is>
          <t>Atlas 960超节点</t>
        </is>
      </c>
      <c r="AZ36" s="36" t="n"/>
      <c r="BA36" t="inlineStr">
        <is>
          <t>推理向</t>
        </is>
      </c>
    </row>
    <row r="37">
      <c r="A37" s="8" t="inlineStr">
        <is>
          <t>思元590</t>
        </is>
      </c>
      <c r="B37" t="inlineStr">
        <is>
          <t>寒武纪</t>
        </is>
      </c>
      <c r="C37" s="20" t="inlineStr">
        <is>
          <t>7nm Chiplet</t>
        </is>
      </c>
      <c r="D37" s="36" t="n"/>
      <c r="E37" t="inlineStr">
        <is>
          <t>未公开</t>
        </is>
      </c>
      <c r="F37" t="inlineStr">
        <is>
          <t>HBM2e</t>
        </is>
      </c>
      <c r="G37" s="36" t="n"/>
      <c r="H37" s="20" t="n">
        <v>2000</v>
      </c>
      <c r="I37" s="36" t="n"/>
      <c r="J37" s="36" t="n"/>
      <c r="K37" t="n">
        <v>96</v>
      </c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t="n">
        <v>512</v>
      </c>
      <c r="Y37" s="36" t="n"/>
      <c r="Z37" t="inlineStr">
        <is>
          <t>不支持</t>
        </is>
      </c>
      <c r="AA37" t="inlineStr">
        <is>
          <t>不支持</t>
        </is>
      </c>
      <c r="AB37" s="20" t="n">
        <v>345</v>
      </c>
      <c r="AC37" s="20" t="n">
        <v>320</v>
      </c>
      <c r="AD37" s="36" t="n"/>
      <c r="AE37" s="36" t="n"/>
      <c r="AF37" s="36" t="n"/>
      <c r="AG37" s="20" t="n">
        <v>350</v>
      </c>
      <c r="AH37" s="36" t="n"/>
      <c r="AI37" t="n">
        <v>512</v>
      </c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t="inlineStr">
        <is>
          <t>2022-09 WAIC首透露</t>
        </is>
      </c>
      <c r="AS37" t="inlineStr">
        <is>
          <t>2024量产,2025出货11.6万颗</t>
        </is>
      </c>
      <c r="AT37" t="inlineStr">
        <is>
          <t>MLU590</t>
        </is>
      </c>
      <c r="AU37" t="inlineStr">
        <is>
          <t>未公开</t>
        </is>
      </c>
      <c r="AV37" t="inlineStr">
        <is>
          <t>不支持</t>
        </is>
      </c>
      <c r="AW37" t="inlineStr">
        <is>
          <t>MLU-Link 512GB/s</t>
        </is>
      </c>
      <c r="AX37" t="inlineStr">
        <is>
          <t>16卡</t>
        </is>
      </c>
      <c r="AY37" s="36" t="n"/>
      <c r="AZ37" s="36" t="n"/>
      <c r="BA37" t="inlineStr">
        <is>
          <t>训练为主兼顾推理</t>
        </is>
      </c>
    </row>
    <row r="38">
      <c r="A38" s="8" t="inlineStr">
        <is>
          <t>思元690</t>
        </is>
      </c>
      <c r="B38" t="inlineStr">
        <is>
          <t>寒武纪</t>
        </is>
      </c>
      <c r="C38" s="20" t="inlineStr">
        <is>
          <t>双die 5nm级/双7nm两说</t>
        </is>
      </c>
      <c r="D38" s="36" t="n"/>
      <c r="E38" t="inlineStr">
        <is>
          <t>未公开</t>
        </is>
      </c>
      <c r="F38" t="inlineStr">
        <is>
          <t>HBM3</t>
        </is>
      </c>
      <c r="G38" s="36" t="n"/>
      <c r="H38" s="20" t="n">
        <v>3350</v>
      </c>
      <c r="I38" s="36" t="n"/>
      <c r="J38" s="36" t="n"/>
      <c r="K38" t="n">
        <v>196</v>
      </c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20" t="n">
        <v>2800</v>
      </c>
      <c r="Y38" s="36" t="n"/>
      <c r="Z38" s="36" t="n"/>
      <c r="AA38" s="36" t="n"/>
      <c r="AB38" s="20" t="n">
        <v>700</v>
      </c>
      <c r="AC38" s="20" t="n">
        <v>700</v>
      </c>
      <c r="AD38" s="36" t="n"/>
      <c r="AE38" s="36" t="n"/>
      <c r="AF38" s="36" t="n"/>
      <c r="AG38" t="inlineStr">
        <is>
          <t>未公开</t>
        </is>
      </c>
      <c r="AH38" s="36" t="n"/>
      <c r="AI38" t="inlineStr">
        <is>
          <t>存疑</t>
        </is>
      </c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t="inlineStr">
        <is>
          <t>官方未官宣</t>
        </is>
      </c>
      <c r="AS38" t="inlineStr">
        <is>
          <t>券商口径2026初量产</t>
        </is>
      </c>
      <c r="AT38" t="inlineStr">
        <is>
          <t>MLU690</t>
        </is>
      </c>
      <c r="AU38" t="inlineStr">
        <is>
          <t>未公开</t>
        </is>
      </c>
      <c r="AV38" s="36" t="n"/>
      <c r="AW38" t="inlineStr">
        <is>
          <t>MLU-Link</t>
        </is>
      </c>
      <c r="AX38" s="36" t="n"/>
      <c r="AY38" s="36" t="n"/>
      <c r="AZ38" s="36" t="n"/>
      <c r="BA38" t="inlineStr">
        <is>
          <t>训练+推理主打MoE</t>
        </is>
      </c>
    </row>
    <row r="39">
      <c r="A39" s="8" t="inlineStr">
        <is>
          <t>含光800</t>
        </is>
      </c>
      <c r="B39" t="inlineStr">
        <is>
          <t>阿里平头哥</t>
        </is>
      </c>
      <c r="C39" t="inlineStr">
        <is>
          <t>12nm</t>
        </is>
      </c>
      <c r="D39" s="36" t="n"/>
      <c r="E39" t="inlineStr">
        <is>
          <t>未公开</t>
        </is>
      </c>
      <c r="F39" t="inlineStr">
        <is>
          <t>片上SRAM+板载DRAM</t>
        </is>
      </c>
      <c r="G39" s="36" t="n"/>
      <c r="H39" t="inlineStr">
        <is>
          <t>未公开</t>
        </is>
      </c>
      <c r="I39" s="36" t="n"/>
      <c r="J39" s="36" t="n"/>
      <c r="K39" t="inlineStr">
        <is>
          <t>未公开</t>
        </is>
      </c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20" t="n">
        <v>820</v>
      </c>
      <c r="Y39" s="36" t="n"/>
      <c r="Z39" t="inlineStr">
        <is>
          <t>不支持</t>
        </is>
      </c>
      <c r="AA39" t="inlineStr">
        <is>
          <t>不支持</t>
        </is>
      </c>
      <c r="AB39" s="36" t="n"/>
      <c r="AC39" s="36" t="n"/>
      <c r="AD39" s="36" t="n"/>
      <c r="AE39" s="36" t="n"/>
      <c r="AF39" s="36" t="n"/>
      <c r="AG39" t="n">
        <v>276</v>
      </c>
      <c r="AH39" s="36" t="n"/>
      <c r="AI39" t="inlineStr">
        <is>
          <t>无专用互联</t>
        </is>
      </c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t="inlineStr">
        <is>
          <t>2019-09-25云栖</t>
        </is>
      </c>
      <c r="AS39" t="inlineStr">
        <is>
          <t>2019起内部部署</t>
        </is>
      </c>
      <c r="AT39" t="inlineStr">
        <is>
          <t>含光800</t>
        </is>
      </c>
      <c r="AU39" t="n">
        <v>170</v>
      </c>
      <c r="AV39" t="inlineStr">
        <is>
          <t>不支持</t>
        </is>
      </c>
      <c r="AW39" t="inlineStr">
        <is>
          <t>PCIe 4.0</t>
        </is>
      </c>
      <c r="AX39" s="36" t="n"/>
      <c r="AY39" s="36" t="n"/>
      <c r="AZ39" s="36" t="n"/>
      <c r="BA39" t="inlineStr">
        <is>
          <t>云端推理(视觉/CNN)</t>
        </is>
      </c>
    </row>
    <row r="40">
      <c r="A40" s="8" t="inlineStr">
        <is>
          <t>真武V900</t>
        </is>
      </c>
      <c r="B40" t="inlineStr">
        <is>
          <t>阿里平头哥</t>
        </is>
      </c>
      <c r="C40" t="inlineStr">
        <is>
          <t>未公开</t>
        </is>
      </c>
      <c r="D40" s="36" t="n"/>
      <c r="E40" t="inlineStr">
        <is>
          <t>未公开</t>
        </is>
      </c>
      <c r="F40" s="20" t="inlineStr">
        <is>
          <t>疑HBM3e级(推断)</t>
        </is>
      </c>
      <c r="G40" s="36" t="n"/>
      <c r="H40" s="20" t="n">
        <v>7000</v>
      </c>
      <c r="I40" s="36" t="n"/>
      <c r="J40" s="36" t="n"/>
      <c r="K40" t="n">
        <v>216</v>
      </c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20" t="n">
        <v>2200</v>
      </c>
      <c r="AB40" s="36" t="n"/>
      <c r="AC40" s="36" t="n"/>
      <c r="AD40" s="36" t="n"/>
      <c r="AE40" s="36" t="n"/>
      <c r="AF40" s="36" t="n"/>
      <c r="AG40" t="inlineStr">
        <is>
          <t>未公开</t>
        </is>
      </c>
      <c r="AH40" s="36" t="n"/>
      <c r="AI40" t="n">
        <v>1200</v>
      </c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t="inlineStr">
        <is>
          <t>2026-09-22云栖</t>
        </is>
      </c>
      <c r="AS40" t="inlineStr">
        <is>
          <t>官方2027 Q1量产</t>
        </is>
      </c>
      <c r="AT40" t="inlineStr">
        <is>
          <t>真武V900</t>
        </is>
      </c>
      <c r="AU40" t="inlineStr">
        <is>
          <t>未公开</t>
        </is>
      </c>
      <c r="AV40" t="inlineStr">
        <is>
          <t>原生FP4支持</t>
        </is>
      </c>
      <c r="AW40" t="inlineStr">
        <is>
          <t>1200GB/s+ICN Switch</t>
        </is>
      </c>
      <c r="AX40" t="inlineStr">
        <is>
          <t>单集群50万卡</t>
        </is>
      </c>
      <c r="AY40" t="inlineStr">
        <is>
          <t>千卡全带宽超节点</t>
        </is>
      </c>
      <c r="AZ40" s="36" t="n"/>
      <c r="BA40" t="inlineStr">
        <is>
          <t>训推一体</t>
        </is>
      </c>
    </row>
    <row r="41">
      <c r="A41" s="8" t="inlineStr">
        <is>
          <t>MTIA v1</t>
        </is>
      </c>
      <c r="B41" t="inlineStr">
        <is>
          <t>Meta</t>
        </is>
      </c>
      <c r="C41" t="inlineStr">
        <is>
          <t>n7</t>
        </is>
      </c>
      <c r="D41" s="36" t="n"/>
      <c r="E41" t="inlineStr">
        <is>
          <t>未公开</t>
        </is>
      </c>
      <c r="F41" t="inlineStr">
        <is>
          <t>LPDDR5</t>
        </is>
      </c>
      <c r="G41" s="36" t="n"/>
      <c r="H41" t="n">
        <v>176</v>
      </c>
      <c r="I41" s="36" t="n"/>
      <c r="J41" s="36" t="n"/>
      <c r="K41" t="n">
        <v>64</v>
      </c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t="n">
        <v>102.4</v>
      </c>
      <c r="Y41" s="36" t="n"/>
      <c r="Z41" t="inlineStr">
        <is>
          <t>不支持</t>
        </is>
      </c>
      <c r="AA41" t="inlineStr">
        <is>
          <t>不支持</t>
        </is>
      </c>
      <c r="AB41" t="n">
        <v>51.2</v>
      </c>
      <c r="AC41" t="n">
        <v>51.2</v>
      </c>
      <c r="AD41" s="36" t="n"/>
      <c r="AE41" s="36" t="n"/>
      <c r="AF41" s="36" t="n"/>
      <c r="AG41" t="n">
        <v>25</v>
      </c>
      <c r="AH41" s="36" t="n"/>
      <c r="AI41" t="inlineStr">
        <is>
          <t>无</t>
        </is>
      </c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t="inlineStr">
        <is>
          <t>2023-05-18</t>
        </is>
      </c>
      <c r="AS41" t="inlineStr">
        <is>
          <t>ISCA2023论文</t>
        </is>
      </c>
      <c r="AT41" t="inlineStr">
        <is>
          <t>MTIA v1</t>
        </is>
      </c>
      <c r="AU41" t="inlineStr">
        <is>
          <t>未公开</t>
        </is>
      </c>
      <c r="AV41" t="inlineStr">
        <is>
          <t>不支持</t>
        </is>
      </c>
      <c r="AW41" t="inlineStr">
        <is>
          <t>PCIe Gen4</t>
        </is>
      </c>
      <c r="AX41" s="36" t="n"/>
      <c r="AY41" s="36" t="n"/>
      <c r="AZ41" s="36" t="n"/>
      <c r="BA41" t="inlineStr">
        <is>
          <t>推理(推荐/排名)</t>
        </is>
      </c>
    </row>
    <row r="42">
      <c r="A42" s="8" t="inlineStr">
        <is>
          <t>MTIA v2</t>
        </is>
      </c>
      <c r="B42" t="inlineStr">
        <is>
          <t>Meta</t>
        </is>
      </c>
      <c r="C42" t="inlineStr">
        <is>
          <t>n5</t>
        </is>
      </c>
      <c r="D42" s="36" t="n"/>
      <c r="E42" t="inlineStr">
        <is>
          <t>未公开</t>
        </is>
      </c>
      <c r="F42" t="inlineStr">
        <is>
          <t>LPDDR5</t>
        </is>
      </c>
      <c r="G42" s="36" t="n"/>
      <c r="H42" t="n">
        <v>204.8</v>
      </c>
      <c r="I42" s="36" t="n"/>
      <c r="J42" s="36" t="n"/>
      <c r="K42" t="n">
        <v>128</v>
      </c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t="n">
        <v>354</v>
      </c>
      <c r="Y42" s="36" t="n"/>
      <c r="Z42" t="inlineStr">
        <is>
          <t>不支持</t>
        </is>
      </c>
      <c r="AA42" t="inlineStr">
        <is>
          <t>不支持</t>
        </is>
      </c>
      <c r="AB42" t="n">
        <v>177</v>
      </c>
      <c r="AC42" t="n">
        <v>177</v>
      </c>
      <c r="AD42" s="36" t="n"/>
      <c r="AE42" s="36" t="n"/>
      <c r="AF42" s="36" t="n"/>
      <c r="AG42" t="n">
        <v>85</v>
      </c>
      <c r="AH42" s="36" t="n"/>
      <c r="AI42" t="inlineStr">
        <is>
          <t>无</t>
        </is>
      </c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t="inlineStr">
        <is>
          <t>2024-04-10</t>
        </is>
      </c>
      <c r="AS42" t="inlineStr">
        <is>
          <t>ISCA2025论文,部署数十万颗</t>
        </is>
      </c>
      <c r="AT42" t="inlineStr">
        <is>
          <t>MTIA v2 Artemis</t>
        </is>
      </c>
      <c r="AU42" t="inlineStr">
        <is>
          <t>未公开</t>
        </is>
      </c>
      <c r="AV42" t="inlineStr">
        <is>
          <t>不支持</t>
        </is>
      </c>
      <c r="AW42" t="inlineStr">
        <is>
          <t>PCIe Gen5</t>
        </is>
      </c>
      <c r="AX42" t="inlineStr">
        <is>
          <t>72卡/机柜</t>
        </is>
      </c>
      <c r="AY42" s="36" t="n"/>
      <c r="AZ42" s="36" t="n"/>
      <c r="BA42" t="inlineStr">
        <is>
          <t>推理(推荐/排名)</t>
        </is>
      </c>
    </row>
    <row r="43">
      <c r="A43" s="8" t="inlineStr">
        <is>
          <t>MTIA 300</t>
        </is>
      </c>
      <c r="B43" t="inlineStr">
        <is>
          <t>Meta</t>
        </is>
      </c>
      <c r="C43" t="inlineStr">
        <is>
          <t>2.5D CoWoS(制程未公开)</t>
        </is>
      </c>
      <c r="D43" s="36" t="n"/>
      <c r="E43" t="inlineStr">
        <is>
          <t>未公开</t>
        </is>
      </c>
      <c r="F43" t="inlineStr">
        <is>
          <t>HBM3e</t>
        </is>
      </c>
      <c r="G43" t="n">
        <v>6</v>
      </c>
      <c r="H43" t="n">
        <v>6100</v>
      </c>
      <c r="I43" s="36" t="n"/>
      <c r="J43" s="36" t="n"/>
      <c r="K43" t="n">
        <v>216</v>
      </c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t="inlineStr">
        <is>
          <t>不支持</t>
        </is>
      </c>
      <c r="AA43" t="n">
        <v>1120</v>
      </c>
      <c r="AB43" s="36" t="n"/>
      <c r="AC43" t="n">
        <v>560</v>
      </c>
      <c r="AD43" s="36" t="n"/>
      <c r="AE43" s="36" t="n"/>
      <c r="AF43" s="36" t="n"/>
      <c r="AG43" t="n">
        <v>912</v>
      </c>
      <c r="AH43" s="36" t="n"/>
      <c r="AI43" t="n">
        <v>800</v>
      </c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t="inlineStr">
        <is>
          <t>ISCA2026论文(2026-06-30)</t>
        </is>
      </c>
      <c r="AS43" t="inlineStr">
        <is>
          <t>2026</t>
        </is>
      </c>
      <c r="AT43" t="inlineStr">
        <is>
          <t>MTIA 300 双chiplet+内置NIC</t>
        </is>
      </c>
      <c r="AU43" t="inlineStr">
        <is>
          <t>未公开</t>
        </is>
      </c>
      <c r="AV43" t="inlineStr">
        <is>
          <t>不支持</t>
        </is>
      </c>
      <c r="AW43" t="inlineStr">
        <is>
          <t>12x800G RoCE内置NIC</t>
        </is>
      </c>
      <c r="AX43" t="inlineStr">
        <is>
          <t>scale-out 200GB/s</t>
        </is>
      </c>
      <c r="AY43" t="inlineStr">
        <is>
          <t>16节点域</t>
        </is>
      </c>
      <c r="AZ43" s="36" t="n"/>
      <c r="BA43" t="inlineStr">
        <is>
          <t>DLRM训练兼GenAI推理</t>
        </is>
      </c>
    </row>
    <row r="44">
      <c r="A44" s="8" t="inlineStr">
        <is>
          <t>MTIA 400</t>
        </is>
      </c>
      <c r="B44" t="inlineStr">
        <is>
          <t>Meta</t>
        </is>
      </c>
      <c r="C44" t="inlineStr">
        <is>
          <t>未公开</t>
        </is>
      </c>
      <c r="D44" s="36" t="n"/>
      <c r="E44" t="inlineStr">
        <is>
          <t>未公开</t>
        </is>
      </c>
      <c r="F44" t="inlineStr">
        <is>
          <t>HBM</t>
        </is>
      </c>
      <c r="G44" s="36" t="n"/>
      <c r="H44" t="n">
        <v>9200</v>
      </c>
      <c r="I44" s="36" t="n"/>
      <c r="J44" s="36" t="n"/>
      <c r="K44" t="n">
        <v>288</v>
      </c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t="n">
        <v>6000</v>
      </c>
      <c r="AB44" s="36" t="n"/>
      <c r="AC44" s="36" t="n"/>
      <c r="AD44" s="36" t="n"/>
      <c r="AE44" s="36" t="n"/>
      <c r="AF44" s="36" t="n"/>
      <c r="AG44" t="n">
        <v>1200</v>
      </c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t="inlineStr">
        <is>
          <t>2026-03公布</t>
        </is>
      </c>
      <c r="AS44" t="inlineStr">
        <is>
          <t>2026部署</t>
        </is>
      </c>
      <c r="AT44" t="inlineStr">
        <is>
          <t>MTIA 400 Iris 双chiplet</t>
        </is>
      </c>
      <c r="AU44" t="inlineStr">
        <is>
          <t>未公开</t>
        </is>
      </c>
      <c r="AV44" t="inlineStr">
        <is>
          <t>原生MX4</t>
        </is>
      </c>
      <c r="AW44" s="36" t="n"/>
      <c r="AX44" s="36" t="n"/>
      <c r="AY44" t="inlineStr">
        <is>
          <t>72卡机架</t>
        </is>
      </c>
      <c r="AZ44" s="36" t="n"/>
      <c r="BA44" t="inlineStr">
        <is>
          <t>GenAI(对标GB300)</t>
        </is>
      </c>
    </row>
    <row r="45">
      <c r="A45" s="8" t="inlineStr">
        <is>
          <t>MTIA 450</t>
        </is>
      </c>
      <c r="B45" t="inlineStr">
        <is>
          <t>Meta</t>
        </is>
      </c>
      <c r="C45" t="inlineStr">
        <is>
          <t>未公开</t>
        </is>
      </c>
      <c r="D45" s="36" t="n"/>
      <c r="E45" t="inlineStr">
        <is>
          <t>未公开</t>
        </is>
      </c>
      <c r="F45" t="inlineStr">
        <is>
          <t>HBM</t>
        </is>
      </c>
      <c r="G45" s="36" t="n"/>
      <c r="H45" t="n">
        <v>18400</v>
      </c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t="n">
        <v>21000</v>
      </c>
      <c r="AA45" s="36" t="n"/>
      <c r="AB45" s="36" t="n"/>
      <c r="AC45" s="36" t="n"/>
      <c r="AD45" s="36" t="n"/>
      <c r="AE45" s="36" t="n"/>
      <c r="AF45" s="36" t="n"/>
      <c r="AG45" t="inlineStr">
        <is>
          <t>未公开</t>
        </is>
      </c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t="inlineStr">
        <is>
          <t>2027初量产</t>
        </is>
      </c>
      <c r="AS45" t="inlineStr">
        <is>
          <t>2027初量产</t>
        </is>
      </c>
      <c r="AT45" t="inlineStr">
        <is>
          <t>MTIA 450 Arke</t>
        </is>
      </c>
      <c r="AU45" t="inlineStr">
        <is>
          <t>未公开</t>
        </is>
      </c>
      <c r="AV45" t="inlineStr">
        <is>
          <t>MX4</t>
        </is>
      </c>
      <c r="AW45" s="36" t="n"/>
      <c r="AX45" s="36" t="n"/>
      <c r="AY45" s="36" t="n"/>
      <c r="AZ45" s="36" t="n"/>
      <c r="BA45" t="inlineStr">
        <is>
          <t>GenAI推理(MoE增强)</t>
        </is>
      </c>
    </row>
    <row r="46">
      <c r="A46" s="8" t="inlineStr">
        <is>
          <t>MTIA 500</t>
        </is>
      </c>
      <c r="B46" t="inlineStr">
        <is>
          <t>Meta</t>
        </is>
      </c>
      <c r="C46" t="inlineStr">
        <is>
          <t>2x2 chiplet(未公开)</t>
        </is>
      </c>
      <c r="D46" s="36" t="n"/>
      <c r="E46" t="inlineStr">
        <is>
          <t>未公开</t>
        </is>
      </c>
      <c r="F46" t="inlineStr">
        <is>
          <t>HBM</t>
        </is>
      </c>
      <c r="G46" s="36" t="n"/>
      <c r="H46" t="n">
        <v>27600</v>
      </c>
      <c r="I46" s="36" t="n"/>
      <c r="J46" s="36" t="n"/>
      <c r="K46" s="20" t="n">
        <v>448</v>
      </c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t="n">
        <v>30000</v>
      </c>
      <c r="AA46" s="36" t="n"/>
      <c r="AB46" s="36" t="n"/>
      <c r="AC46" s="36" t="n"/>
      <c r="AD46" s="36" t="n"/>
      <c r="AE46" s="36" t="n"/>
      <c r="AF46" s="36" t="n"/>
      <c r="AG46" t="inlineStr">
        <is>
          <t>未公开</t>
        </is>
      </c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t="inlineStr">
        <is>
          <t>2027底量产</t>
        </is>
      </c>
      <c r="AS46" t="inlineStr">
        <is>
          <t>2027底量产</t>
        </is>
      </c>
      <c r="AT46" t="inlineStr">
        <is>
          <t>MTIA 500 Astrid</t>
        </is>
      </c>
      <c r="AU46" t="inlineStr">
        <is>
          <t>未公开</t>
        </is>
      </c>
      <c r="AV46" t="inlineStr">
        <is>
          <t>MX4</t>
        </is>
      </c>
      <c r="AW46" s="36" t="n"/>
      <c r="AX46" s="36" t="n"/>
      <c r="AY46" s="36" t="n"/>
      <c r="AZ46" s="36" t="n"/>
      <c r="BA46" t="inlineStr">
        <is>
          <t>GenAI推理</t>
        </is>
      </c>
    </row>
  </sheetData>
  <conditionalFormatting sqref="B14:U14 D4:G8 H2:H8 H10 J2:J8 K2:M4 K5:X8 L10:Q10 N2:X2 N4:X4 R9:U10 V10:W10 X14 Y2:AJ8 Y9:Y10 Z14 AB14 AD14:AM14 AE10:AG10 AH9:AH10 AI10:AJ10 AK3:AL4 AM2:AN10 AM11:AM13 AN11:AN19 AO14:AR14 AP2:AP13 AP17:AP19 AQ3:AR4">
    <cfRule type="cellIs" priority="297" operator="equal" dxfId="1">
      <formula>"无"</formula>
    </cfRule>
    <cfRule type="cellIs" priority="298" operator="equal" dxfId="0">
      <formula>"TBD"</formula>
    </cfRule>
  </conditionalFormatting>
  <conditionalFormatting sqref="D2:G2">
    <cfRule type="cellIs" priority="295" operator="equal" dxfId="1">
      <formula>"无"</formula>
    </cfRule>
    <cfRule type="cellIs" priority="296" operator="equal" dxfId="0">
      <formula>"TBD"</formula>
    </cfRule>
  </conditionalFormatting>
  <conditionalFormatting sqref="D3:F3 N3:X3">
    <cfRule type="cellIs" priority="293" operator="equal" dxfId="1">
      <formula>"无"</formula>
    </cfRule>
    <cfRule type="cellIs" priority="294" operator="equal" dxfId="0">
      <formula>"TBD"</formula>
    </cfRule>
  </conditionalFormatting>
  <conditionalFormatting sqref="G3">
    <cfRule type="cellIs" priority="291" operator="equal" dxfId="1">
      <formula>"无"</formula>
    </cfRule>
    <cfRule type="cellIs" priority="292" operator="equal" dxfId="0">
      <formula>"TBD"</formula>
    </cfRule>
  </conditionalFormatting>
  <conditionalFormatting sqref="B3">
    <cfRule type="cellIs" priority="285" operator="equal" dxfId="1">
      <formula>"无"</formula>
    </cfRule>
    <cfRule type="cellIs" priority="286" operator="equal" dxfId="0">
      <formula>"TBD"</formula>
    </cfRule>
  </conditionalFormatting>
  <conditionalFormatting sqref="B4:B8">
    <cfRule type="cellIs" priority="289" operator="equal" dxfId="1">
      <formula>"无"</formula>
    </cfRule>
    <cfRule type="cellIs" priority="290" operator="equal" dxfId="0">
      <formula>"TBD"</formula>
    </cfRule>
  </conditionalFormatting>
  <conditionalFormatting sqref="B2">
    <cfRule type="cellIs" priority="287" operator="equal" dxfId="1">
      <formula>"无"</formula>
    </cfRule>
    <cfRule type="cellIs" priority="288" operator="equal" dxfId="0">
      <formula>"TBD"</formula>
    </cfRule>
  </conditionalFormatting>
  <conditionalFormatting sqref="D10:F10 K10 AA10:AD10">
    <cfRule type="cellIs" priority="283" operator="equal" dxfId="1">
      <formula>"无"</formula>
    </cfRule>
    <cfRule type="cellIs" priority="284" operator="equal" dxfId="0">
      <formula>"TBD"</formula>
    </cfRule>
  </conditionalFormatting>
  <conditionalFormatting sqref="AK10:AL10 AQ10:AR10">
    <cfRule type="cellIs" priority="275" operator="equal" dxfId="1">
      <formula>"无"</formula>
    </cfRule>
    <cfRule type="cellIs" priority="276" operator="equal" dxfId="0">
      <formula>"TBD"</formula>
    </cfRule>
  </conditionalFormatting>
  <conditionalFormatting sqref="B10">
    <cfRule type="cellIs" priority="281" operator="equal" dxfId="1">
      <formula>"无"</formula>
    </cfRule>
    <cfRule type="cellIs" priority="282" operator="equal" dxfId="0">
      <formula>"TBD"</formula>
    </cfRule>
  </conditionalFormatting>
  <conditionalFormatting sqref="X10">
    <cfRule type="cellIs" priority="279" operator="equal" dxfId="1">
      <formula>"无"</formula>
    </cfRule>
    <cfRule type="cellIs" priority="280" operator="equal" dxfId="0">
      <formula>"TBD"</formula>
    </cfRule>
  </conditionalFormatting>
  <conditionalFormatting sqref="AK8:AL8 AQ8:AR8">
    <cfRule type="cellIs" priority="277" operator="equal" dxfId="1">
      <formula>"无"</formula>
    </cfRule>
    <cfRule type="cellIs" priority="278" operator="equal" dxfId="0">
      <formula>"TBD"</formula>
    </cfRule>
  </conditionalFormatting>
  <conditionalFormatting sqref="I2:I8 I10">
    <cfRule type="cellIs" priority="273" operator="equal" dxfId="1">
      <formula>"无"</formula>
    </cfRule>
    <cfRule type="cellIs" priority="274" operator="equal" dxfId="0">
      <formula>"TBD"</formula>
    </cfRule>
  </conditionalFormatting>
  <conditionalFormatting sqref="AK5">
    <cfRule type="cellIs" priority="271" operator="equal" dxfId="1">
      <formula>"无"</formula>
    </cfRule>
    <cfRule type="cellIs" priority="272" operator="equal" dxfId="0">
      <formula>"TBD"</formula>
    </cfRule>
  </conditionalFormatting>
  <conditionalFormatting sqref="AK6">
    <cfRule type="cellIs" priority="269" operator="equal" dxfId="1">
      <formula>"无"</formula>
    </cfRule>
    <cfRule type="cellIs" priority="270" operator="equal" dxfId="0">
      <formula>"TBD"</formula>
    </cfRule>
  </conditionalFormatting>
  <conditionalFormatting sqref="AK7">
    <cfRule type="cellIs" priority="267" operator="equal" dxfId="1">
      <formula>"无"</formula>
    </cfRule>
    <cfRule type="cellIs" priority="268" operator="equal" dxfId="0">
      <formula>"TBD"</formula>
    </cfRule>
  </conditionalFormatting>
  <conditionalFormatting sqref="AL7 AQ7:AR7">
    <cfRule type="cellIs" priority="265" operator="equal" dxfId="1">
      <formula>"无"</formula>
    </cfRule>
    <cfRule type="cellIs" priority="266" operator="equal" dxfId="0">
      <formula>"TBD"</formula>
    </cfRule>
  </conditionalFormatting>
  <conditionalFormatting sqref="AL6 AQ6:AR6">
    <cfRule type="cellIs" priority="263" operator="equal" dxfId="1">
      <formula>"无"</formula>
    </cfRule>
    <cfRule type="cellIs" priority="264" operator="equal" dxfId="0">
      <formula>"TBD"</formula>
    </cfRule>
  </conditionalFormatting>
  <conditionalFormatting sqref="AL5 AQ5:AR5">
    <cfRule type="cellIs" priority="261" operator="equal" dxfId="1">
      <formula>"无"</formula>
    </cfRule>
    <cfRule type="cellIs" priority="262" operator="equal" dxfId="0">
      <formula>"TBD"</formula>
    </cfRule>
  </conditionalFormatting>
  <conditionalFormatting sqref="AK2">
    <cfRule type="cellIs" priority="259" operator="equal" dxfId="1">
      <formula>"无"</formula>
    </cfRule>
    <cfRule type="cellIs" priority="260" operator="equal" dxfId="0">
      <formula>"TBD"</formula>
    </cfRule>
  </conditionalFormatting>
  <conditionalFormatting sqref="AL2 AQ2:AR2">
    <cfRule type="cellIs" priority="257" operator="equal" dxfId="1">
      <formula>"无"</formula>
    </cfRule>
    <cfRule type="cellIs" priority="258" operator="equal" dxfId="0">
      <formula>"TBD"</formula>
    </cfRule>
  </conditionalFormatting>
  <conditionalFormatting sqref="Z10">
    <cfRule type="cellIs" priority="255" operator="equal" dxfId="1">
      <formula>"无"</formula>
    </cfRule>
    <cfRule type="cellIs" priority="256" operator="equal" dxfId="0">
      <formula>"TBD"</formula>
    </cfRule>
  </conditionalFormatting>
  <conditionalFormatting sqref="J10">
    <cfRule type="cellIs" priority="253" operator="equal" dxfId="1">
      <formula>"无"</formula>
    </cfRule>
    <cfRule type="cellIs" priority="254" operator="equal" dxfId="0">
      <formula>"TBD"</formula>
    </cfRule>
  </conditionalFormatting>
  <conditionalFormatting sqref="G10">
    <cfRule type="cellIs" priority="251" operator="equal" dxfId="1">
      <formula>"无"</formula>
    </cfRule>
    <cfRule type="cellIs" priority="252" operator="equal" dxfId="0">
      <formula>"TBD"</formula>
    </cfRule>
  </conditionalFormatting>
  <conditionalFormatting sqref="H9 L9:W9 AE9:AG9 AI9:AJ9">
    <cfRule type="cellIs" priority="249" operator="equal" dxfId="1">
      <formula>"无"</formula>
    </cfRule>
    <cfRule type="cellIs" priority="250" operator="equal" dxfId="0">
      <formula>"TBD"</formula>
    </cfRule>
  </conditionalFormatting>
  <conditionalFormatting sqref="D9:F9 K9 AA9:AD9">
    <cfRule type="cellIs" priority="247" operator="equal" dxfId="1">
      <formula>"无"</formula>
    </cfRule>
    <cfRule type="cellIs" priority="248" operator="equal" dxfId="0">
      <formula>"TBD"</formula>
    </cfRule>
  </conditionalFormatting>
  <conditionalFormatting sqref="B9">
    <cfRule type="cellIs" priority="245" operator="equal" dxfId="1">
      <formula>"无"</formula>
    </cfRule>
    <cfRule type="cellIs" priority="246" operator="equal" dxfId="0">
      <formula>"TBD"</formula>
    </cfRule>
  </conditionalFormatting>
  <conditionalFormatting sqref="X9">
    <cfRule type="cellIs" priority="243" operator="equal" dxfId="1">
      <formula>"无"</formula>
    </cfRule>
    <cfRule type="cellIs" priority="244" operator="equal" dxfId="0">
      <formula>"TBD"</formula>
    </cfRule>
  </conditionalFormatting>
  <conditionalFormatting sqref="I9">
    <cfRule type="cellIs" priority="241" operator="equal" dxfId="1">
      <formula>"无"</formula>
    </cfRule>
    <cfRule type="cellIs" priority="242" operator="equal" dxfId="0">
      <formula>"TBD"</formula>
    </cfRule>
  </conditionalFormatting>
  <conditionalFormatting sqref="Z9">
    <cfRule type="cellIs" priority="239" operator="equal" dxfId="1">
      <formula>"无"</formula>
    </cfRule>
    <cfRule type="cellIs" priority="240" operator="equal" dxfId="0">
      <formula>"TBD"</formula>
    </cfRule>
  </conditionalFormatting>
  <conditionalFormatting sqref="J9">
    <cfRule type="cellIs" priority="237" operator="equal" dxfId="1">
      <formula>"无"</formula>
    </cfRule>
    <cfRule type="cellIs" priority="238" operator="equal" dxfId="0">
      <formula>"TBD"</formula>
    </cfRule>
  </conditionalFormatting>
  <conditionalFormatting sqref="G9">
    <cfRule type="cellIs" priority="235" operator="equal" dxfId="1">
      <formula>"无"</formula>
    </cfRule>
    <cfRule type="cellIs" priority="236" operator="equal" dxfId="0">
      <formula>"TBD"</formula>
    </cfRule>
  </conditionalFormatting>
  <conditionalFormatting sqref="AK9">
    <cfRule type="cellIs" priority="233" operator="equal" dxfId="1">
      <formula>"无"</formula>
    </cfRule>
    <cfRule type="cellIs" priority="234" operator="equal" dxfId="0">
      <formula>"TBD"</formula>
    </cfRule>
  </conditionalFormatting>
  <conditionalFormatting sqref="AL9 AQ9:AR9">
    <cfRule type="cellIs" priority="231" operator="equal" dxfId="1">
      <formula>"无"</formula>
    </cfRule>
    <cfRule type="cellIs" priority="232" operator="equal" dxfId="0">
      <formula>"TBD"</formula>
    </cfRule>
  </conditionalFormatting>
  <conditionalFormatting sqref="C2:C10">
    <cfRule type="cellIs" priority="229" operator="equal" dxfId="1">
      <formula>"无"</formula>
    </cfRule>
    <cfRule type="cellIs" priority="230" operator="equal" dxfId="0">
      <formula>"TBD"</formula>
    </cfRule>
  </conditionalFormatting>
  <conditionalFormatting sqref="H11:I11 K11:R11 T11:U11 W11 Y11 AA11:AC11 AF11:AH11">
    <cfRule type="cellIs" priority="227" operator="equal" dxfId="1">
      <formula>"无"</formula>
    </cfRule>
    <cfRule type="cellIs" priority="228" operator="equal" dxfId="0">
      <formula>"TBD"</formula>
    </cfRule>
  </conditionalFormatting>
  <conditionalFormatting sqref="D11:F11">
    <cfRule type="cellIs" priority="225" operator="equal" dxfId="1">
      <formula>"无"</formula>
    </cfRule>
    <cfRule type="cellIs" priority="226" operator="equal" dxfId="0">
      <formula>"TBD"</formula>
    </cfRule>
  </conditionalFormatting>
  <conditionalFormatting sqref="B11">
    <cfRule type="cellIs" priority="223" operator="equal" dxfId="1">
      <formula>"无"</formula>
    </cfRule>
    <cfRule type="cellIs" priority="224" operator="equal" dxfId="0">
      <formula>"TBD"</formula>
    </cfRule>
  </conditionalFormatting>
  <conditionalFormatting sqref="AQ11:AR11">
    <cfRule type="cellIs" priority="221" operator="equal" dxfId="1">
      <formula>"无"</formula>
    </cfRule>
    <cfRule type="cellIs" priority="222" operator="equal" dxfId="0">
      <formula>"TBD"</formula>
    </cfRule>
  </conditionalFormatting>
  <conditionalFormatting sqref="Z11">
    <cfRule type="cellIs" priority="219" operator="equal" dxfId="1">
      <formula>"无"</formula>
    </cfRule>
    <cfRule type="cellIs" priority="220" operator="equal" dxfId="0">
      <formula>"TBD"</formula>
    </cfRule>
  </conditionalFormatting>
  <conditionalFormatting sqref="J11">
    <cfRule type="cellIs" priority="217" operator="equal" dxfId="1">
      <formula>"无"</formula>
    </cfRule>
    <cfRule type="cellIs" priority="218" operator="equal" dxfId="0">
      <formula>"TBD"</formula>
    </cfRule>
  </conditionalFormatting>
  <conditionalFormatting sqref="C11">
    <cfRule type="cellIs" priority="215" operator="equal" dxfId="1">
      <formula>"无"</formula>
    </cfRule>
    <cfRule type="cellIs" priority="216" operator="equal" dxfId="0">
      <formula>"TBD"</formula>
    </cfRule>
  </conditionalFormatting>
  <conditionalFormatting sqref="AD11">
    <cfRule type="cellIs" priority="213" operator="equal" dxfId="1">
      <formula>"无"</formula>
    </cfRule>
    <cfRule type="cellIs" priority="214" operator="equal" dxfId="0">
      <formula>"TBD"</formula>
    </cfRule>
  </conditionalFormatting>
  <conditionalFormatting sqref="AE11">
    <cfRule type="cellIs" priority="211" operator="equal" dxfId="1">
      <formula>"无"</formula>
    </cfRule>
    <cfRule type="cellIs" priority="212" operator="equal" dxfId="0">
      <formula>"TBD"</formula>
    </cfRule>
  </conditionalFormatting>
  <conditionalFormatting sqref="X11">
    <cfRule type="cellIs" priority="209" operator="equal" dxfId="1">
      <formula>"无"</formula>
    </cfRule>
    <cfRule type="cellIs" priority="210" operator="equal" dxfId="0">
      <formula>"TBD"</formula>
    </cfRule>
  </conditionalFormatting>
  <conditionalFormatting sqref="V11">
    <cfRule type="cellIs" priority="207" operator="equal" dxfId="1">
      <formula>"无"</formula>
    </cfRule>
    <cfRule type="cellIs" priority="208" operator="equal" dxfId="0">
      <formula>"TBD"</formula>
    </cfRule>
  </conditionalFormatting>
  <conditionalFormatting sqref="G11">
    <cfRule type="cellIs" priority="205" operator="equal" dxfId="1">
      <formula>"无"</formula>
    </cfRule>
    <cfRule type="cellIs" priority="206" operator="equal" dxfId="0">
      <formula>"TBD"</formula>
    </cfRule>
  </conditionalFormatting>
  <conditionalFormatting sqref="AI11">
    <cfRule type="cellIs" priority="203" operator="equal" dxfId="1">
      <formula>"无"</formula>
    </cfRule>
    <cfRule type="cellIs" priority="204" operator="equal" dxfId="0">
      <formula>"TBD"</formula>
    </cfRule>
  </conditionalFormatting>
  <conditionalFormatting sqref="AJ11">
    <cfRule type="cellIs" priority="201" operator="equal" dxfId="1">
      <formula>"无"</formula>
    </cfRule>
    <cfRule type="cellIs" priority="202" operator="equal" dxfId="0">
      <formula>"TBD"</formula>
    </cfRule>
  </conditionalFormatting>
  <conditionalFormatting sqref="AK11">
    <cfRule type="cellIs" priority="199" operator="equal" dxfId="1">
      <formula>"无"</formula>
    </cfRule>
    <cfRule type="cellIs" priority="200" operator="equal" dxfId="0">
      <formula>"TBD"</formula>
    </cfRule>
  </conditionalFormatting>
  <conditionalFormatting sqref="AL11">
    <cfRule type="cellIs" priority="197" operator="equal" dxfId="1">
      <formula>"无"</formula>
    </cfRule>
    <cfRule type="cellIs" priority="198" operator="equal" dxfId="0">
      <formula>"TBD"</formula>
    </cfRule>
  </conditionalFormatting>
  <conditionalFormatting sqref="AH13">
    <cfRule type="cellIs" priority="195" operator="equal" dxfId="1">
      <formula>"无"</formula>
    </cfRule>
    <cfRule type="cellIs" priority="196" operator="equal" dxfId="0">
      <formula>"TBD"</formula>
    </cfRule>
  </conditionalFormatting>
  <conditionalFormatting sqref="H13:I13 K13:R13 T13:U13 W13 AA13:AG13 AI13:AJ13">
    <cfRule type="cellIs" priority="193" operator="equal" dxfId="1">
      <formula>"无"</formula>
    </cfRule>
    <cfRule type="cellIs" priority="194" operator="equal" dxfId="0">
      <formula>"TBD"</formula>
    </cfRule>
  </conditionalFormatting>
  <conditionalFormatting sqref="B13">
    <cfRule type="cellIs" priority="189" operator="equal" dxfId="1">
      <formula>"无"</formula>
    </cfRule>
    <cfRule type="cellIs" priority="190" operator="equal" dxfId="0">
      <formula>"TBD"</formula>
    </cfRule>
  </conditionalFormatting>
  <conditionalFormatting sqref="D13:G13">
    <cfRule type="cellIs" priority="191" operator="equal" dxfId="1">
      <formula>"无"</formula>
    </cfRule>
    <cfRule type="cellIs" priority="192" operator="equal" dxfId="0">
      <formula>"TBD"</formula>
    </cfRule>
  </conditionalFormatting>
  <conditionalFormatting sqref="Z13">
    <cfRule type="cellIs" priority="187" operator="equal" dxfId="1">
      <formula>"无"</formula>
    </cfRule>
    <cfRule type="cellIs" priority="188" operator="equal" dxfId="0">
      <formula>"TBD"</formula>
    </cfRule>
  </conditionalFormatting>
  <conditionalFormatting sqref="J13">
    <cfRule type="cellIs" priority="185" operator="equal" dxfId="1">
      <formula>"无"</formula>
    </cfRule>
    <cfRule type="cellIs" priority="186" operator="equal" dxfId="0">
      <formula>"TBD"</formula>
    </cfRule>
  </conditionalFormatting>
  <conditionalFormatting sqref="X13">
    <cfRule type="cellIs" priority="183" operator="equal" dxfId="1">
      <formula>"无"</formula>
    </cfRule>
    <cfRule type="cellIs" priority="184" operator="equal" dxfId="0">
      <formula>"TBD"</formula>
    </cfRule>
  </conditionalFormatting>
  <conditionalFormatting sqref="AO2:AO8">
    <cfRule type="cellIs" priority="175" operator="equal" dxfId="1">
      <formula>"无"</formula>
    </cfRule>
    <cfRule type="cellIs" priority="176" operator="equal" dxfId="0">
      <formula>"TBD"</formula>
    </cfRule>
  </conditionalFormatting>
  <conditionalFormatting sqref="AK13">
    <cfRule type="cellIs" priority="181" operator="equal" dxfId="1">
      <formula>"无"</formula>
    </cfRule>
    <cfRule type="cellIs" priority="182" operator="equal" dxfId="0">
      <formula>"TBD"</formula>
    </cfRule>
  </conditionalFormatting>
  <conditionalFormatting sqref="AL13 AQ13:AR13">
    <cfRule type="cellIs" priority="179" operator="equal" dxfId="1">
      <formula>"无"</formula>
    </cfRule>
    <cfRule type="cellIs" priority="180" operator="equal" dxfId="0">
      <formula>"TBD"</formula>
    </cfRule>
  </conditionalFormatting>
  <conditionalFormatting sqref="C13">
    <cfRule type="cellIs" priority="177" operator="equal" dxfId="1">
      <formula>"无"</formula>
    </cfRule>
    <cfRule type="cellIs" priority="178" operator="equal" dxfId="0">
      <formula>"TBD"</formula>
    </cfRule>
  </conditionalFormatting>
  <conditionalFormatting sqref="AO10">
    <cfRule type="cellIs" priority="173" operator="equal" dxfId="1">
      <formula>"无"</formula>
    </cfRule>
    <cfRule type="cellIs" priority="174" operator="equal" dxfId="0">
      <formula>"TBD"</formula>
    </cfRule>
  </conditionalFormatting>
  <conditionalFormatting sqref="AO9">
    <cfRule type="cellIs" priority="171" operator="equal" dxfId="1">
      <formula>"无"</formula>
    </cfRule>
    <cfRule type="cellIs" priority="172" operator="equal" dxfId="0">
      <formula>"TBD"</formula>
    </cfRule>
  </conditionalFormatting>
  <conditionalFormatting sqref="AO11">
    <cfRule type="cellIs" priority="169" operator="equal" dxfId="1">
      <formula>"无"</formula>
    </cfRule>
    <cfRule type="cellIs" priority="170" operator="equal" dxfId="0">
      <formula>"TBD"</formula>
    </cfRule>
  </conditionalFormatting>
  <conditionalFormatting sqref="AO13">
    <cfRule type="cellIs" priority="167" operator="equal" dxfId="1">
      <formula>"无"</formula>
    </cfRule>
    <cfRule type="cellIs" priority="168" operator="equal" dxfId="0">
      <formula>"TBD"</formula>
    </cfRule>
  </conditionalFormatting>
  <conditionalFormatting sqref="S11">
    <cfRule type="cellIs" priority="165" operator="equal" dxfId="1">
      <formula>"无"</formula>
    </cfRule>
    <cfRule type="cellIs" priority="166" operator="equal" dxfId="0">
      <formula>"TBD"</formula>
    </cfRule>
  </conditionalFormatting>
  <conditionalFormatting sqref="S13">
    <cfRule type="cellIs" priority="163" operator="equal" dxfId="1">
      <formula>"无"</formula>
    </cfRule>
    <cfRule type="cellIs" priority="164" operator="equal" dxfId="0">
      <formula>"TBD"</formula>
    </cfRule>
  </conditionalFormatting>
  <conditionalFormatting sqref="Y13">
    <cfRule type="cellIs" priority="161" operator="equal" dxfId="1">
      <formula>"无"</formula>
    </cfRule>
    <cfRule type="cellIs" priority="162" operator="equal" dxfId="0">
      <formula>"TBD"</formula>
    </cfRule>
  </conditionalFormatting>
  <conditionalFormatting sqref="V13">
    <cfRule type="cellIs" priority="159" operator="equal" dxfId="1">
      <formula>"无"</formula>
    </cfRule>
    <cfRule type="cellIs" priority="160" operator="equal" dxfId="0">
      <formula>"TBD"</formula>
    </cfRule>
  </conditionalFormatting>
  <conditionalFormatting sqref="H12:I12 K12:R12 T12:U12 W12 Y12 AA12:AC12 AF12:AH12">
    <cfRule type="cellIs" priority="157" operator="equal" dxfId="1">
      <formula>"无"</formula>
    </cfRule>
    <cfRule type="cellIs" priority="158" operator="equal" dxfId="0">
      <formula>"TBD"</formula>
    </cfRule>
  </conditionalFormatting>
  <conditionalFormatting sqref="D12:F12">
    <cfRule type="cellIs" priority="155" operator="equal" dxfId="1">
      <formula>"无"</formula>
    </cfRule>
    <cfRule type="cellIs" priority="156" operator="equal" dxfId="0">
      <formula>"TBD"</formula>
    </cfRule>
  </conditionalFormatting>
  <conditionalFormatting sqref="B12">
    <cfRule type="cellIs" priority="153" operator="equal" dxfId="1">
      <formula>"无"</formula>
    </cfRule>
    <cfRule type="cellIs" priority="154" operator="equal" dxfId="0">
      <formula>"TBD"</formula>
    </cfRule>
  </conditionalFormatting>
  <conditionalFormatting sqref="AQ12:AR12">
    <cfRule type="cellIs" priority="151" operator="equal" dxfId="1">
      <formula>"无"</formula>
    </cfRule>
    <cfRule type="cellIs" priority="152" operator="equal" dxfId="0">
      <formula>"TBD"</formula>
    </cfRule>
  </conditionalFormatting>
  <conditionalFormatting sqref="Z12">
    <cfRule type="cellIs" priority="149" operator="equal" dxfId="1">
      <formula>"无"</formula>
    </cfRule>
    <cfRule type="cellIs" priority="150" operator="equal" dxfId="0">
      <formula>"TBD"</formula>
    </cfRule>
  </conditionalFormatting>
  <conditionalFormatting sqref="J12">
    <cfRule type="cellIs" priority="147" operator="equal" dxfId="1">
      <formula>"无"</formula>
    </cfRule>
    <cfRule type="cellIs" priority="148" operator="equal" dxfId="0">
      <formula>"TBD"</formula>
    </cfRule>
  </conditionalFormatting>
  <conditionalFormatting sqref="C12">
    <cfRule type="cellIs" priority="145" operator="equal" dxfId="1">
      <formula>"无"</formula>
    </cfRule>
    <cfRule type="cellIs" priority="146" operator="equal" dxfId="0">
      <formula>"TBD"</formula>
    </cfRule>
  </conditionalFormatting>
  <conditionalFormatting sqref="AD12">
    <cfRule type="cellIs" priority="143" operator="equal" dxfId="1">
      <formula>"无"</formula>
    </cfRule>
    <cfRule type="cellIs" priority="144" operator="equal" dxfId="0">
      <formula>"TBD"</formula>
    </cfRule>
  </conditionalFormatting>
  <conditionalFormatting sqref="AE12">
    <cfRule type="cellIs" priority="141" operator="equal" dxfId="1">
      <formula>"无"</formula>
    </cfRule>
    <cfRule type="cellIs" priority="142" operator="equal" dxfId="0">
      <formula>"TBD"</formula>
    </cfRule>
  </conditionalFormatting>
  <conditionalFormatting sqref="X12">
    <cfRule type="cellIs" priority="139" operator="equal" dxfId="1">
      <formula>"无"</formula>
    </cfRule>
    <cfRule type="cellIs" priority="140" operator="equal" dxfId="0">
      <formula>"TBD"</formula>
    </cfRule>
  </conditionalFormatting>
  <conditionalFormatting sqref="V12">
    <cfRule type="cellIs" priority="137" operator="equal" dxfId="1">
      <formula>"无"</formula>
    </cfRule>
    <cfRule type="cellIs" priority="138" operator="equal" dxfId="0">
      <formula>"TBD"</formula>
    </cfRule>
  </conditionalFormatting>
  <conditionalFormatting sqref="G12">
    <cfRule type="cellIs" priority="135" operator="equal" dxfId="1">
      <formula>"无"</formula>
    </cfRule>
    <cfRule type="cellIs" priority="136" operator="equal" dxfId="0">
      <formula>"TBD"</formula>
    </cfRule>
  </conditionalFormatting>
  <conditionalFormatting sqref="AI12">
    <cfRule type="cellIs" priority="133" operator="equal" dxfId="1">
      <formula>"无"</formula>
    </cfRule>
    <cfRule type="cellIs" priority="134" operator="equal" dxfId="0">
      <formula>"TBD"</formula>
    </cfRule>
  </conditionalFormatting>
  <conditionalFormatting sqref="AJ12">
    <cfRule type="cellIs" priority="131" operator="equal" dxfId="1">
      <formula>"无"</formula>
    </cfRule>
    <cfRule type="cellIs" priority="132" operator="equal" dxfId="0">
      <formula>"TBD"</formula>
    </cfRule>
  </conditionalFormatting>
  <conditionalFormatting sqref="AK12">
    <cfRule type="cellIs" priority="129" operator="equal" dxfId="1">
      <formula>"无"</formula>
    </cfRule>
    <cfRule type="cellIs" priority="130" operator="equal" dxfId="0">
      <formula>"TBD"</formula>
    </cfRule>
  </conditionalFormatting>
  <conditionalFormatting sqref="AL12">
    <cfRule type="cellIs" priority="127" operator="equal" dxfId="1">
      <formula>"无"</formula>
    </cfRule>
    <cfRule type="cellIs" priority="128" operator="equal" dxfId="0">
      <formula>"TBD"</formula>
    </cfRule>
  </conditionalFormatting>
  <conditionalFormatting sqref="AO12">
    <cfRule type="cellIs" priority="125" operator="equal" dxfId="1">
      <formula>"无"</formula>
    </cfRule>
    <cfRule type="cellIs" priority="126" operator="equal" dxfId="0">
      <formula>"TBD"</formula>
    </cfRule>
  </conditionalFormatting>
  <conditionalFormatting sqref="S12">
    <cfRule type="cellIs" priority="123" operator="equal" dxfId="1">
      <formula>"无"</formula>
    </cfRule>
    <cfRule type="cellIs" priority="124" operator="equal" dxfId="0">
      <formula>"TBD"</formula>
    </cfRule>
  </conditionalFormatting>
  <conditionalFormatting sqref="AM17:AM19">
    <cfRule type="cellIs" priority="121" operator="equal" dxfId="1">
      <formula>"无"</formula>
    </cfRule>
    <cfRule type="cellIs" priority="122" operator="equal" dxfId="0">
      <formula>"TBD"</formula>
    </cfRule>
  </conditionalFormatting>
  <conditionalFormatting sqref="H17:I17 K17:R17 T17:U17 W17 Y17 AA17:AC17 AF17:AH17">
    <cfRule type="cellIs" priority="119" operator="equal" dxfId="1">
      <formula>"无"</formula>
    </cfRule>
    <cfRule type="cellIs" priority="120" operator="equal" dxfId="0">
      <formula>"TBD"</formula>
    </cfRule>
  </conditionalFormatting>
  <conditionalFormatting sqref="D17:F17">
    <cfRule type="cellIs" priority="117" operator="equal" dxfId="1">
      <formula>"无"</formula>
    </cfRule>
    <cfRule type="cellIs" priority="118" operator="equal" dxfId="0">
      <formula>"TBD"</formula>
    </cfRule>
  </conditionalFormatting>
  <conditionalFormatting sqref="B17">
    <cfRule type="cellIs" priority="115" operator="equal" dxfId="1">
      <formula>"无"</formula>
    </cfRule>
    <cfRule type="cellIs" priority="116" operator="equal" dxfId="0">
      <formula>"TBD"</formula>
    </cfRule>
  </conditionalFormatting>
  <conditionalFormatting sqref="AQ17:AR17">
    <cfRule type="cellIs" priority="113" operator="equal" dxfId="1">
      <formula>"无"</formula>
    </cfRule>
    <cfRule type="cellIs" priority="114" operator="equal" dxfId="0">
      <formula>"TBD"</formula>
    </cfRule>
  </conditionalFormatting>
  <conditionalFormatting sqref="Z17">
    <cfRule type="cellIs" priority="111" operator="equal" dxfId="1">
      <formula>"无"</formula>
    </cfRule>
    <cfRule type="cellIs" priority="112" operator="equal" dxfId="0">
      <formula>"TBD"</formula>
    </cfRule>
  </conditionalFormatting>
  <conditionalFormatting sqref="J17">
    <cfRule type="cellIs" priority="109" operator="equal" dxfId="1">
      <formula>"无"</formula>
    </cfRule>
    <cfRule type="cellIs" priority="110" operator="equal" dxfId="0">
      <formula>"TBD"</formula>
    </cfRule>
  </conditionalFormatting>
  <conditionalFormatting sqref="C17">
    <cfRule type="cellIs" priority="107" operator="equal" dxfId="1">
      <formula>"无"</formula>
    </cfRule>
    <cfRule type="cellIs" priority="108" operator="equal" dxfId="0">
      <formula>"TBD"</formula>
    </cfRule>
  </conditionalFormatting>
  <conditionalFormatting sqref="AD17">
    <cfRule type="cellIs" priority="105" operator="equal" dxfId="1">
      <formula>"无"</formula>
    </cfRule>
    <cfRule type="cellIs" priority="106" operator="equal" dxfId="0">
      <formula>"TBD"</formula>
    </cfRule>
  </conditionalFormatting>
  <conditionalFormatting sqref="AE17">
    <cfRule type="cellIs" priority="103" operator="equal" dxfId="1">
      <formula>"无"</formula>
    </cfRule>
    <cfRule type="cellIs" priority="104" operator="equal" dxfId="0">
      <formula>"TBD"</formula>
    </cfRule>
  </conditionalFormatting>
  <conditionalFormatting sqref="X17">
    <cfRule type="cellIs" priority="101" operator="equal" dxfId="1">
      <formula>"无"</formula>
    </cfRule>
    <cfRule type="cellIs" priority="102" operator="equal" dxfId="0">
      <formula>"TBD"</formula>
    </cfRule>
  </conditionalFormatting>
  <conditionalFormatting sqref="V17">
    <cfRule type="cellIs" priority="99" operator="equal" dxfId="1">
      <formula>"无"</formula>
    </cfRule>
    <cfRule type="cellIs" priority="100" operator="equal" dxfId="0">
      <formula>"TBD"</formula>
    </cfRule>
  </conditionalFormatting>
  <conditionalFormatting sqref="G17">
    <cfRule type="cellIs" priority="97" operator="equal" dxfId="1">
      <formula>"无"</formula>
    </cfRule>
    <cfRule type="cellIs" priority="98" operator="equal" dxfId="0">
      <formula>"TBD"</formula>
    </cfRule>
  </conditionalFormatting>
  <conditionalFormatting sqref="AI17:AI19">
    <cfRule type="cellIs" priority="95" operator="equal" dxfId="1">
      <formula>"无"</formula>
    </cfRule>
    <cfRule type="cellIs" priority="96" operator="equal" dxfId="0">
      <formula>"TBD"</formula>
    </cfRule>
  </conditionalFormatting>
  <conditionalFormatting sqref="AJ17:AJ19">
    <cfRule type="cellIs" priority="93" operator="equal" dxfId="1">
      <formula>"无"</formula>
    </cfRule>
    <cfRule type="cellIs" priority="94" operator="equal" dxfId="0">
      <formula>"TBD"</formula>
    </cfRule>
  </conditionalFormatting>
  <conditionalFormatting sqref="AK17:AK19">
    <cfRule type="cellIs" priority="91" operator="equal" dxfId="1">
      <formula>"无"</formula>
    </cfRule>
    <cfRule type="cellIs" priority="92" operator="equal" dxfId="0">
      <formula>"TBD"</formula>
    </cfRule>
  </conditionalFormatting>
  <conditionalFormatting sqref="AL17:AL19">
    <cfRule type="cellIs" priority="89" operator="equal" dxfId="1">
      <formula>"无"</formula>
    </cfRule>
    <cfRule type="cellIs" priority="90" operator="equal" dxfId="0">
      <formula>"TBD"</formula>
    </cfRule>
  </conditionalFormatting>
  <conditionalFormatting sqref="AO17:AO19">
    <cfRule type="cellIs" priority="87" operator="equal" dxfId="1">
      <formula>"无"</formula>
    </cfRule>
    <cfRule type="cellIs" priority="88" operator="equal" dxfId="0">
      <formula>"TBD"</formula>
    </cfRule>
  </conditionalFormatting>
  <conditionalFormatting sqref="S17">
    <cfRule type="cellIs" priority="85" operator="equal" dxfId="1">
      <formula>"无"</formula>
    </cfRule>
    <cfRule type="cellIs" priority="86" operator="equal" dxfId="0">
      <formula>"TBD"</formula>
    </cfRule>
  </conditionalFormatting>
  <conditionalFormatting sqref="V14:W14 AA14 AC14">
    <cfRule type="cellIs" priority="83" operator="equal" dxfId="1">
      <formula>"无"</formula>
    </cfRule>
    <cfRule type="cellIs" priority="84" operator="equal" dxfId="0">
      <formula>"TBD"</formula>
    </cfRule>
  </conditionalFormatting>
  <conditionalFormatting sqref="Y14">
    <cfRule type="cellIs" priority="81" operator="equal" dxfId="1">
      <formula>"无"</formula>
    </cfRule>
    <cfRule type="cellIs" priority="82" operator="equal" dxfId="0">
      <formula>"TBD"</formula>
    </cfRule>
  </conditionalFormatting>
  <conditionalFormatting sqref="AP14">
    <cfRule type="cellIs" priority="67" operator="equal" dxfId="1">
      <formula>"无"</formula>
    </cfRule>
    <cfRule type="cellIs" priority="68" operator="equal" dxfId="0">
      <formula>"TBD"</formula>
    </cfRule>
  </conditionalFormatting>
  <conditionalFormatting sqref="J14">
    <cfRule type="cellIs" priority="63" operator="equal" dxfId="1">
      <formula>"无"</formula>
    </cfRule>
    <cfRule type="cellIs" priority="64" operator="equal" dxfId="0">
      <formula>"TBD"</formula>
    </cfRule>
  </conditionalFormatting>
  <conditionalFormatting sqref="G14">
    <cfRule type="cellIs" priority="61" operator="equal" dxfId="1">
      <formula>"无"</formula>
    </cfRule>
    <cfRule type="cellIs" priority="62" operator="equal" dxfId="0">
      <formula>"TBD"</formula>
    </cfRule>
  </conditionalFormatting>
  <conditionalFormatting sqref="AO14">
    <cfRule type="cellIs" priority="55" operator="equal" dxfId="1">
      <formula>"无"</formula>
    </cfRule>
    <cfRule type="cellIs" priority="56" operator="equal" dxfId="0">
      <formula>"TBD"</formula>
    </cfRule>
  </conditionalFormatting>
  <conditionalFormatting sqref="H14 L14:W14 Y14 AE14:AJ14">
    <cfRule type="cellIs" priority="79" operator="equal" dxfId="1">
      <formula>"无"</formula>
    </cfRule>
    <cfRule type="cellIs" priority="80" operator="equal" dxfId="0">
      <formula>"TBD"</formula>
    </cfRule>
  </conditionalFormatting>
  <conditionalFormatting sqref="D14:F14 K14 AA14:AD14">
    <cfRule type="cellIs" priority="77" operator="equal" dxfId="1">
      <formula>"无"</formula>
    </cfRule>
    <cfRule type="cellIs" priority="78" operator="equal" dxfId="0">
      <formula>"TBD"</formula>
    </cfRule>
  </conditionalFormatting>
  <conditionalFormatting sqref="AK14:AL14 AQ14:AR14">
    <cfRule type="cellIs" priority="71" operator="equal" dxfId="1">
      <formula>"无"</formula>
    </cfRule>
    <cfRule type="cellIs" priority="72" operator="equal" dxfId="0">
      <formula>"TBD"</formula>
    </cfRule>
  </conditionalFormatting>
  <conditionalFormatting sqref="B14">
    <cfRule type="cellIs" priority="75" operator="equal" dxfId="1">
      <formula>"无"</formula>
    </cfRule>
    <cfRule type="cellIs" priority="76" operator="equal" dxfId="0">
      <formula>"TBD"</formula>
    </cfRule>
  </conditionalFormatting>
  <conditionalFormatting sqref="X14">
    <cfRule type="cellIs" priority="73" operator="equal" dxfId="1">
      <formula>"无"</formula>
    </cfRule>
    <cfRule type="cellIs" priority="74" operator="equal" dxfId="0">
      <formula>"TBD"</formula>
    </cfRule>
  </conditionalFormatting>
  <conditionalFormatting sqref="I14">
    <cfRule type="cellIs" priority="69" operator="equal" dxfId="1">
      <formula>"无"</formula>
    </cfRule>
    <cfRule type="cellIs" priority="70" operator="equal" dxfId="0">
      <formula>"TBD"</formula>
    </cfRule>
  </conditionalFormatting>
  <conditionalFormatting sqref="AP15:AP19">
    <cfRule type="cellIs" priority="41" operator="equal" dxfId="1">
      <formula>"无"</formula>
    </cfRule>
    <cfRule type="cellIs" priority="42" operator="equal" dxfId="0">
      <formula>"TBD"</formula>
    </cfRule>
  </conditionalFormatting>
  <conditionalFormatting sqref="Z14">
    <cfRule type="cellIs" priority="65" operator="equal" dxfId="1">
      <formula>"无"</formula>
    </cfRule>
    <cfRule type="cellIs" priority="66" operator="equal" dxfId="0">
      <formula>"TBD"</formula>
    </cfRule>
  </conditionalFormatting>
  <conditionalFormatting sqref="J15 J17:J19">
    <cfRule type="cellIs" priority="37" operator="equal" dxfId="1">
      <formula>"无"</formula>
    </cfRule>
    <cfRule type="cellIs" priority="38" operator="equal" dxfId="0">
      <formula>"TBD"</formula>
    </cfRule>
  </conditionalFormatting>
  <conditionalFormatting sqref="G15:G19">
    <cfRule type="cellIs" priority="35" operator="equal" dxfId="1">
      <formula>"无"</formula>
    </cfRule>
    <cfRule type="cellIs" priority="36" operator="equal" dxfId="0">
      <formula>"TBD"</formula>
    </cfRule>
  </conditionalFormatting>
  <conditionalFormatting sqref="C14">
    <cfRule type="cellIs" priority="59" operator="equal" dxfId="1">
      <formula>"无"</formula>
    </cfRule>
    <cfRule type="cellIs" priority="60" operator="equal" dxfId="0">
      <formula>"TBD"</formula>
    </cfRule>
  </conditionalFormatting>
  <conditionalFormatting sqref="AM14">
    <cfRule type="cellIs" priority="57" operator="equal" dxfId="1">
      <formula>"无"</formula>
    </cfRule>
    <cfRule type="cellIs" priority="58" operator="equal" dxfId="0">
      <formula>"TBD"</formula>
    </cfRule>
  </conditionalFormatting>
  <conditionalFormatting sqref="AO15:AO19">
    <cfRule type="cellIs" priority="29" operator="equal" dxfId="1">
      <formula>"无"</formula>
    </cfRule>
    <cfRule type="cellIs" priority="30" operator="equal" dxfId="0">
      <formula>"TBD"</formula>
    </cfRule>
  </conditionalFormatting>
  <conditionalFormatting sqref="H15:H17 I16:AL16 L15:W15 L17:W17 Y15 Y17 AE15:AJ15 AE17:AG17 AH17:AJ19">
    <cfRule type="cellIs" priority="53" operator="equal" dxfId="1">
      <formula>"无"</formula>
    </cfRule>
    <cfRule type="cellIs" priority="54" operator="equal" dxfId="0">
      <formula>"TBD"</formula>
    </cfRule>
  </conditionalFormatting>
  <conditionalFormatting sqref="D15:F19 K15 K17 AA15:AD15 AA17:AD17">
    <cfRule type="cellIs" priority="51" operator="equal" dxfId="1">
      <formula>"无"</formula>
    </cfRule>
    <cfRule type="cellIs" priority="52" operator="equal" dxfId="0">
      <formula>"TBD"</formula>
    </cfRule>
  </conditionalFormatting>
  <conditionalFormatting sqref="AK15:AL15 AK17:AL19 AQ15:AR19">
    <cfRule type="cellIs" priority="45" operator="equal" dxfId="1">
      <formula>"无"</formula>
    </cfRule>
    <cfRule type="cellIs" priority="46" operator="equal" dxfId="0">
      <formula>"TBD"</formula>
    </cfRule>
  </conditionalFormatting>
  <conditionalFormatting sqref="B15:B19">
    <cfRule type="cellIs" priority="49" operator="equal" dxfId="1">
      <formula>"无"</formula>
    </cfRule>
    <cfRule type="cellIs" priority="50" operator="equal" dxfId="0">
      <formula>"TBD"</formula>
    </cfRule>
  </conditionalFormatting>
  <conditionalFormatting sqref="X15 X17">
    <cfRule type="cellIs" priority="47" operator="equal" dxfId="1">
      <formula>"无"</formula>
    </cfRule>
    <cfRule type="cellIs" priority="48" operator="equal" dxfId="0">
      <formula>"TBD"</formula>
    </cfRule>
  </conditionalFormatting>
  <conditionalFormatting sqref="I15 I17">
    <cfRule type="cellIs" priority="43" operator="equal" dxfId="1">
      <formula>"无"</formula>
    </cfRule>
    <cfRule type="cellIs" priority="44" operator="equal" dxfId="0">
      <formula>"TBD"</formula>
    </cfRule>
  </conditionalFormatting>
  <conditionalFormatting sqref="Z15 Z17">
    <cfRule type="cellIs" priority="39" operator="equal" dxfId="1">
      <formula>"无"</formula>
    </cfRule>
    <cfRule type="cellIs" priority="40" operator="equal" dxfId="0">
      <formula>"TBD"</formula>
    </cfRule>
  </conditionalFormatting>
  <conditionalFormatting sqref="C15:C19">
    <cfRule type="cellIs" priority="33" operator="equal" dxfId="1">
      <formula>"无"</formula>
    </cfRule>
    <cfRule type="cellIs" priority="34" operator="equal" dxfId="0">
      <formula>"TBD"</formula>
    </cfRule>
  </conditionalFormatting>
  <conditionalFormatting sqref="AM15:AM19">
    <cfRule type="cellIs" priority="31" operator="equal" dxfId="1">
      <formula>"无"</formula>
    </cfRule>
    <cfRule type="cellIs" priority="32" operator="equal" dxfId="0">
      <formula>"TBD"</formula>
    </cfRule>
  </conditionalFormatting>
  <conditionalFormatting sqref="C18:C19">
    <cfRule type="cellIs" priority="25" operator="equal" dxfId="1">
      <formula>"无"</formula>
    </cfRule>
    <cfRule type="cellIs" priority="26" operator="equal" dxfId="0">
      <formula>"TBD"</formula>
    </cfRule>
    <cfRule type="cellIs" priority="27" operator="equal" dxfId="1">
      <formula>"无"</formula>
    </cfRule>
    <cfRule type="cellIs" priority="28" operator="equal" dxfId="0">
      <formula>"TBD"</formula>
    </cfRule>
  </conditionalFormatting>
  <conditionalFormatting sqref="H18:I19">
    <cfRule type="cellIs" priority="23" operator="equal" dxfId="1">
      <formula>"无"</formula>
    </cfRule>
    <cfRule type="cellIs" priority="24" operator="equal" dxfId="0">
      <formula>"TBD"</formula>
    </cfRule>
  </conditionalFormatting>
  <conditionalFormatting sqref="H18:H19">
    <cfRule type="cellIs" priority="21" operator="equal" dxfId="1">
      <formula>"无"</formula>
    </cfRule>
    <cfRule type="cellIs" priority="22" operator="equal" dxfId="0">
      <formula>"TBD"</formula>
    </cfRule>
  </conditionalFormatting>
  <conditionalFormatting sqref="I18:I19">
    <cfRule type="cellIs" priority="19" operator="equal" dxfId="1">
      <formula>"无"</formula>
    </cfRule>
    <cfRule type="cellIs" priority="20" operator="equal" dxfId="0">
      <formula>"TBD"</formula>
    </cfRule>
  </conditionalFormatting>
  <conditionalFormatting sqref="K18:Y19 AE18:AG19">
    <cfRule type="cellIs" priority="17" operator="equal" dxfId="1">
      <formula>"无"</formula>
    </cfRule>
    <cfRule type="cellIs" priority="18" operator="equal" dxfId="0">
      <formula>"TBD"</formula>
    </cfRule>
  </conditionalFormatting>
  <conditionalFormatting sqref="L18:M19 O18:Y19 AE18:AE19">
    <cfRule type="cellIs" priority="15" operator="equal" dxfId="1">
      <formula>"无"</formula>
    </cfRule>
    <cfRule type="cellIs" priority="16" operator="equal" dxfId="0">
      <formula>"TBD"</formula>
    </cfRule>
  </conditionalFormatting>
  <conditionalFormatting sqref="K18:K19 N18:N19 Q18:Q19 T18:T19 W18:W19 AF18:AG19">
    <cfRule type="cellIs" priority="13" operator="equal" dxfId="1">
      <formula>"无"</formula>
    </cfRule>
    <cfRule type="cellIs" priority="14" operator="equal" dxfId="0">
      <formula>"TBD"</formula>
    </cfRule>
  </conditionalFormatting>
  <conditionalFormatting sqref="AA18:AC19">
    <cfRule type="cellIs" priority="7" operator="equal" dxfId="1">
      <formula>"无"</formula>
    </cfRule>
    <cfRule type="cellIs" priority="8" operator="equal" dxfId="0">
      <formula>"TBD"</formula>
    </cfRule>
    <cfRule type="cellIs" priority="11" operator="equal" dxfId="1">
      <formula>"无"</formula>
    </cfRule>
    <cfRule type="cellIs" priority="12" operator="equal" dxfId="0">
      <formula>"TBD"</formula>
    </cfRule>
  </conditionalFormatting>
  <conditionalFormatting sqref="Z18:Z19">
    <cfRule type="cellIs" priority="5" operator="equal" dxfId="1">
      <formula>"无"</formula>
    </cfRule>
    <cfRule type="cellIs" priority="6" operator="equal" dxfId="0">
      <formula>"TBD"</formula>
    </cfRule>
    <cfRule type="cellIs" priority="9" operator="equal" dxfId="1">
      <formula>"无"</formula>
    </cfRule>
    <cfRule type="cellIs" priority="10" operator="equal" dxfId="0">
      <formula>"TBD"</formula>
    </cfRule>
  </conditionalFormatting>
  <conditionalFormatting sqref="AD18:AD19">
    <cfRule type="cellIs" priority="1" operator="equal" dxfId="1">
      <formula>"无"</formula>
    </cfRule>
    <cfRule type="cellIs" priority="2" operator="equal" dxfId="0">
      <formula>"TBD"</formula>
    </cfRule>
    <cfRule type="cellIs" priority="3" operator="equal" dxfId="1">
      <formula>"无"</formula>
    </cfRule>
    <cfRule type="cellIs" priority="4" operator="equal" dxfId="0">
      <formula>"TBD"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2026-10-09T02:44:59Z</dcterms:modified>
  <cp:lastModifiedBy>韩栋</cp:lastModifiedBy>
</cp:coreProperties>
</file>